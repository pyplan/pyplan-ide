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Novix\i+d\2-Pyplan\4-Pyplan Primeros pasos\4-Pyplan XArray Extension\Modelo Base\"/>
    </mc:Choice>
  </mc:AlternateContent>
  <xr:revisionPtr revIDLastSave="0" documentId="13_ncr:1_{3475FD1A-2EF8-4669-AA80-E881E3DACDD8}" xr6:coauthVersionLast="41" xr6:coauthVersionMax="41" xr10:uidLastSave="{00000000-0000-0000-0000-000000000000}"/>
  <bookViews>
    <workbookView xWindow="-24120" yWindow="-120" windowWidth="24240" windowHeight="13140" tabRatio="586" xr2:uid="{00000000-000D-0000-FFFF-FFFF00000000}"/>
  </bookViews>
  <sheets>
    <sheet name="Front Page" sheetId="1" r:id="rId1"/>
    <sheet name="Front_page" sheetId="2" state="hidden" r:id="rId2"/>
    <sheet name="Reading Excel Example" sheetId="20" r:id="rId3"/>
    <sheet name="Reading_Exce_example" sheetId="21" state="hidden" r:id="rId4"/>
  </sheets>
  <functionGroups builtInGroupCount="19"/>
  <definedNames>
    <definedName name="Front_page">Front_page!$A$1:$C$1</definedName>
    <definedName name="Reading_Exce_example">Reading_Exce_example!$A$1:$BV$39</definedName>
    <definedName name="solver_lin" hidden="1">0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" l="1"/>
  <c r="C1" i="2" s="1"/>
  <c r="B2" i="21" l="1"/>
  <c r="A3" i="20"/>
  <c r="A2" i="21"/>
  <c r="R6" i="20"/>
  <c r="AD6" i="20" s="1"/>
  <c r="AP6" i="20" s="1"/>
  <c r="BB6" i="20" s="1"/>
  <c r="BN6" i="20" s="1"/>
  <c r="G6" i="20"/>
  <c r="H6" i="20" s="1"/>
  <c r="S6" i="20" l="1"/>
  <c r="AE6" i="20" s="1"/>
  <c r="AQ6" i="20" s="1"/>
  <c r="BC6" i="20" s="1"/>
  <c r="BO6" i="20" s="1"/>
  <c r="I6" i="20"/>
  <c r="T6" i="20"/>
  <c r="AF6" i="20" s="1"/>
  <c r="AR6" i="20" s="1"/>
  <c r="BD6" i="20" s="1"/>
  <c r="BP6" i="20" s="1"/>
  <c r="J6" i="20" l="1"/>
  <c r="U6" i="20"/>
  <c r="AG6" i="20" s="1"/>
  <c r="AS6" i="20" s="1"/>
  <c r="BE6" i="20" s="1"/>
  <c r="BQ6" i="20" s="1"/>
  <c r="BV2" i="21"/>
  <c r="BU2" i="21"/>
  <c r="BT2" i="21"/>
  <c r="BS2" i="21"/>
  <c r="BR2" i="21"/>
  <c r="BQ2" i="21"/>
  <c r="BP2" i="21"/>
  <c r="BO2" i="21"/>
  <c r="BN2" i="21"/>
  <c r="BM2" i="21"/>
  <c r="BL2" i="21"/>
  <c r="BK2" i="21"/>
  <c r="BJ2" i="21"/>
  <c r="BI2" i="21"/>
  <c r="BH2" i="21"/>
  <c r="BG2" i="21"/>
  <c r="BF2" i="21"/>
  <c r="BE2" i="21"/>
  <c r="BD2" i="21"/>
  <c r="BC2" i="21"/>
  <c r="BB2" i="21"/>
  <c r="BA2" i="21"/>
  <c r="AZ2" i="21"/>
  <c r="AY2" i="21"/>
  <c r="AX2" i="21"/>
  <c r="AW2" i="21"/>
  <c r="AV2" i="21"/>
  <c r="AU2" i="21"/>
  <c r="AT2" i="21"/>
  <c r="AS2" i="21"/>
  <c r="AR2" i="21"/>
  <c r="AQ2" i="21"/>
  <c r="AP2" i="21"/>
  <c r="AO2" i="21"/>
  <c r="AN2" i="21"/>
  <c r="AM2" i="21"/>
  <c r="AL2" i="21"/>
  <c r="AK2" i="21"/>
  <c r="AJ2" i="21"/>
  <c r="AI2" i="21"/>
  <c r="AH2" i="21"/>
  <c r="AG2" i="21"/>
  <c r="AF2" i="21"/>
  <c r="AE2" i="21"/>
  <c r="AD2" i="21"/>
  <c r="AC2" i="21"/>
  <c r="AB2" i="21"/>
  <c r="AA2" i="21"/>
  <c r="Z2" i="21"/>
  <c r="Y2" i="21"/>
  <c r="X2" i="21"/>
  <c r="W2" i="21"/>
  <c r="V2" i="21"/>
  <c r="U2" i="21"/>
  <c r="T2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D2" i="21"/>
  <c r="C2" i="21"/>
  <c r="K6" i="20" l="1"/>
  <c r="V6" i="20"/>
  <c r="AH6" i="20" s="1"/>
  <c r="AT6" i="20" s="1"/>
  <c r="BF6" i="20" s="1"/>
  <c r="BR6" i="20" s="1"/>
  <c r="L6" i="20" l="1"/>
  <c r="W6" i="20"/>
  <c r="AI6" i="20" s="1"/>
  <c r="AU6" i="20" s="1"/>
  <c r="BG6" i="20" s="1"/>
  <c r="BS6" i="20" s="1"/>
  <c r="B2" i="2"/>
  <c r="C2" i="2" s="1"/>
  <c r="M6" i="20" l="1"/>
  <c r="X6" i="20"/>
  <c r="AJ6" i="20" s="1"/>
  <c r="AV6" i="20" s="1"/>
  <c r="BH6" i="20" s="1"/>
  <c r="BT6" i="20" s="1"/>
  <c r="N6" i="20" l="1"/>
  <c r="Y6" i="20"/>
  <c r="AK6" i="20" s="1"/>
  <c r="AW6" i="20" s="1"/>
  <c r="BI6" i="20" s="1"/>
  <c r="BU6" i="20" s="1"/>
  <c r="O6" i="20" l="1"/>
  <c r="Z6" i="20"/>
  <c r="AL6" i="20" s="1"/>
  <c r="AX6" i="20" s="1"/>
  <c r="BJ6" i="20" s="1"/>
  <c r="BV6" i="20" s="1"/>
  <c r="P6" i="20" l="1"/>
  <c r="AA6" i="20"/>
  <c r="AM6" i="20" s="1"/>
  <c r="AY6" i="20" s="1"/>
  <c r="BK6" i="20" s="1"/>
  <c r="BW6" i="20" s="1"/>
  <c r="Q6" i="20" l="1"/>
  <c r="AC6" i="20" s="1"/>
  <c r="AO6" i="20" s="1"/>
  <c r="BA6" i="20" s="1"/>
  <c r="BM6" i="20" s="1"/>
  <c r="BY6" i="20" s="1"/>
  <c r="AB6" i="20"/>
  <c r="AN6" i="20" s="1"/>
  <c r="AZ6" i="20" s="1"/>
  <c r="BL6" i="20" s="1"/>
  <c r="BX6" i="20" s="1"/>
</calcChain>
</file>

<file path=xl/sharedStrings.xml><?xml version="1.0" encoding="utf-8"?>
<sst xmlns="http://schemas.openxmlformats.org/spreadsheetml/2006/main" count="170" uniqueCount="95">
  <si>
    <t>Sheets coloured in red are used for input data.</t>
  </si>
  <si>
    <t>Sheets in green are used to comunicate with EXCEL (These are hidden and shown by the bottoms under this line)</t>
  </si>
  <si>
    <t>Template Information Area (Autommatically generated when saving)</t>
  </si>
  <si>
    <t>Version</t>
  </si>
  <si>
    <t>Key</t>
  </si>
  <si>
    <t>Saving user</t>
  </si>
  <si>
    <t>Saving date</t>
  </si>
  <si>
    <t>Saving time</t>
  </si>
  <si>
    <t>Filename</t>
  </si>
  <si>
    <t>FilePath</t>
  </si>
  <si>
    <t>Links Info</t>
  </si>
  <si>
    <t>Current</t>
  </si>
  <si>
    <t>Estructura Costo</t>
  </si>
  <si>
    <t/>
  </si>
  <si>
    <t>Reading Example 1</t>
  </si>
  <si>
    <t>Reading Example 2</t>
  </si>
  <si>
    <t>Reading Example 3</t>
  </si>
  <si>
    <t>Reading Example 4</t>
  </si>
  <si>
    <t>Reading Example 5</t>
  </si>
  <si>
    <t>Reading Example 6</t>
  </si>
  <si>
    <t>Reading Example 7</t>
  </si>
  <si>
    <t>Reading Example 8</t>
  </si>
  <si>
    <t>Reading Example 9</t>
  </si>
  <si>
    <t>Reading Example 10</t>
  </si>
  <si>
    <t>Reading Example 11</t>
  </si>
  <si>
    <t>Reading Example 12</t>
  </si>
  <si>
    <t>Reading Example 13</t>
  </si>
  <si>
    <t>Reading Example 14</t>
  </si>
  <si>
    <t>Reading Example 15</t>
  </si>
  <si>
    <t>Reading Example 16</t>
  </si>
  <si>
    <t>Reading Example 17</t>
  </si>
  <si>
    <t>Reading Example 18</t>
  </si>
  <si>
    <t>Reading Example 19</t>
  </si>
  <si>
    <t>Reading Example 20</t>
  </si>
  <si>
    <t>Reading Example 21</t>
  </si>
  <si>
    <t>Reading Example 22</t>
  </si>
  <si>
    <t>Reading Example 23</t>
  </si>
  <si>
    <t>Reading Example 24</t>
  </si>
  <si>
    <t>Reading Example 25</t>
  </si>
  <si>
    <t>Reading Example 26</t>
  </si>
  <si>
    <t>Reading Example 27</t>
  </si>
  <si>
    <t>Reading Example 28</t>
  </si>
  <si>
    <t>Reading Example 29</t>
  </si>
  <si>
    <t>Reading Example 30</t>
  </si>
  <si>
    <t>Reading Example 31</t>
  </si>
  <si>
    <t>Reading Example 32</t>
  </si>
  <si>
    <t>Reading Example 33</t>
  </si>
  <si>
    <t>Reading Example 34</t>
  </si>
  <si>
    <t>Reading Example 35</t>
  </si>
  <si>
    <t>Reading Example 36</t>
  </si>
  <si>
    <t>Reading Example 37</t>
  </si>
  <si>
    <t>Reading Example Template</t>
  </si>
  <si>
    <t>Reading Example Pyplan</t>
  </si>
  <si>
    <t>Reading Example Template.xlsm</t>
  </si>
  <si>
    <t>Some Info</t>
  </si>
  <si>
    <t>Info 1</t>
  </si>
  <si>
    <t>Info 2</t>
  </si>
  <si>
    <t>Info 5</t>
  </si>
  <si>
    <t>Info 3</t>
  </si>
  <si>
    <t>Info 4</t>
  </si>
  <si>
    <t>Info 7</t>
  </si>
  <si>
    <t>Info 8</t>
  </si>
  <si>
    <t>Info 9</t>
  </si>
  <si>
    <t>Info 10</t>
  </si>
  <si>
    <t>Info 11</t>
  </si>
  <si>
    <t>Info 12</t>
  </si>
  <si>
    <t>Info 13</t>
  </si>
  <si>
    <t>Info 14</t>
  </si>
  <si>
    <t>Info 15</t>
  </si>
  <si>
    <t>Info 16</t>
  </si>
  <si>
    <t>Info 17</t>
  </si>
  <si>
    <t>Info 18</t>
  </si>
  <si>
    <t>Info 19</t>
  </si>
  <si>
    <t>Info 20</t>
  </si>
  <si>
    <t>Info 21</t>
  </si>
  <si>
    <t>Info 22</t>
  </si>
  <si>
    <t>Info 23</t>
  </si>
  <si>
    <t>Info 24</t>
  </si>
  <si>
    <t>Info 25</t>
  </si>
  <si>
    <t>Info 26</t>
  </si>
  <si>
    <t>Info 27</t>
  </si>
  <si>
    <t>Info 28</t>
  </si>
  <si>
    <t>Info 29</t>
  </si>
  <si>
    <t>Info 30</t>
  </si>
  <si>
    <t>Info 31</t>
  </si>
  <si>
    <t>Info 32</t>
  </si>
  <si>
    <t>Info 33</t>
  </si>
  <si>
    <t>Info 34</t>
  </si>
  <si>
    <t>Info 35</t>
  </si>
  <si>
    <t>Info 36</t>
  </si>
  <si>
    <t>Info 37</t>
  </si>
  <si>
    <t>reading_example_index</t>
  </si>
  <si>
    <t>User</t>
  </si>
  <si>
    <t>Info 6</t>
  </si>
  <si>
    <t>C:\Dropbox\Novix\i+d\2-Pyplan\4-Pyplan Primeros pasos\4-Pyplan XArray Extension\Modelo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</si>
</sst>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hh:mm:ss;@"/>
    <numFmt numFmtId="165" formatCode="_(* #,##0.00_);_(* \(#,##0.00\);_(* &quot;-&quot;??_);_(@_)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6"/>
      <color theme="0"/>
      <name val="Arial"/>
      <family val="2"/>
    </font>
    <font>
      <i/>
      <sz val="10"/>
      <color theme="0"/>
      <name val="Arial"/>
      <family val="2"/>
    </font>
    <font>
      <i/>
      <sz val="10"/>
      <color rgb="FF002060"/>
      <name val="Arial"/>
      <family val="2"/>
    </font>
    <font>
      <b/>
      <sz val="12"/>
      <color rgb="FF002060"/>
      <name val="Arial"/>
      <family val="2"/>
    </font>
    <font>
      <b/>
      <sz val="10"/>
      <color rgb="FF002060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b/>
      <sz val="14"/>
      <color theme="0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sz val="14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  <fill>
      <patternFill patternType="solid">
        <fgColor theme="4" tint="-0.249977111117893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8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8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4" fillId="3" borderId="0" xfId="0" applyFont="1" applyFill="1" applyAlignment="1" applyProtection="1">
      <alignment vertical="top"/>
      <protection locked="0"/>
    </xf>
    <xf numFmtId="0" fontId="0" fillId="3" borderId="0" xfId="0" applyFill="1" applyAlignment="1" applyProtection="1">
      <alignment vertical="top"/>
      <protection locked="0"/>
    </xf>
    <xf numFmtId="0" fontId="5" fillId="4" borderId="1" xfId="0" applyFont="1" applyFill="1" applyBorder="1"/>
    <xf numFmtId="0" fontId="5" fillId="4" borderId="2" xfId="0" applyFont="1" applyFill="1" applyBorder="1"/>
    <xf numFmtId="0" fontId="5" fillId="4" borderId="3" xfId="0" applyFont="1" applyFill="1" applyBorder="1"/>
    <xf numFmtId="0" fontId="6" fillId="4" borderId="1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6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14" fontId="6" fillId="4" borderId="2" xfId="0" applyNumberFormat="1" applyFont="1" applyFill="1" applyBorder="1" applyAlignment="1">
      <alignment horizontal="right"/>
    </xf>
    <xf numFmtId="0" fontId="6" fillId="4" borderId="7" xfId="0" applyFont="1" applyFill="1" applyBorder="1"/>
    <xf numFmtId="14" fontId="6" fillId="4" borderId="0" xfId="0" applyNumberFormat="1" applyFont="1" applyFill="1"/>
    <xf numFmtId="0" fontId="6" fillId="4" borderId="0" xfId="0" applyFont="1" applyFill="1"/>
    <xf numFmtId="0" fontId="6" fillId="4" borderId="8" xfId="0" applyFont="1" applyFill="1" applyBorder="1"/>
    <xf numFmtId="164" fontId="6" fillId="4" borderId="5" xfId="0" applyNumberFormat="1" applyFont="1" applyFill="1" applyBorder="1"/>
    <xf numFmtId="0" fontId="1" fillId="0" borderId="0" xfId="1"/>
    <xf numFmtId="0" fontId="1" fillId="0" borderId="1" xfId="1" applyBorder="1"/>
    <xf numFmtId="0" fontId="1" fillId="0" borderId="2" xfId="1" applyBorder="1"/>
    <xf numFmtId="0" fontId="1" fillId="0" borderId="7" xfId="1" applyBorder="1"/>
    <xf numFmtId="0" fontId="8" fillId="5" borderId="0" xfId="2" applyFill="1"/>
    <xf numFmtId="0" fontId="9" fillId="2" borderId="0" xfId="1" applyFont="1" applyFill="1" applyAlignment="1">
      <alignment vertical="center"/>
    </xf>
    <xf numFmtId="0" fontId="8" fillId="7" borderId="0" xfId="2" applyFill="1"/>
    <xf numFmtId="4" fontId="10" fillId="0" borderId="0" xfId="5" applyNumberFormat="1"/>
    <xf numFmtId="49" fontId="1" fillId="0" borderId="0" xfId="5" quotePrefix="1" applyNumberFormat="1" applyFont="1"/>
    <xf numFmtId="0" fontId="2" fillId="2" borderId="0" xfId="0" applyFont="1" applyFill="1" applyAlignment="1" applyProtection="1">
      <alignment vertical="center"/>
      <protection locked="0"/>
    </xf>
    <xf numFmtId="2" fontId="11" fillId="6" borderId="1" xfId="1" applyNumberFormat="1" applyFont="1" applyFill="1" applyBorder="1" applyAlignment="1">
      <alignment horizontal="center" vertical="center" wrapText="1"/>
    </xf>
    <xf numFmtId="2" fontId="8" fillId="5" borderId="0" xfId="2" applyNumberFormat="1" applyFill="1"/>
    <xf numFmtId="2" fontId="1" fillId="0" borderId="7" xfId="1" applyNumberFormat="1" applyBorder="1"/>
    <xf numFmtId="2" fontId="1" fillId="0" borderId="0" xfId="1" applyNumberFormat="1"/>
    <xf numFmtId="0" fontId="7" fillId="0" borderId="0" xfId="0" applyFont="1" applyProtection="1">
      <protection locked="0"/>
    </xf>
    <xf numFmtId="2" fontId="11" fillId="6" borderId="9" xfId="1" applyNumberFormat="1" applyFont="1" applyFill="1" applyBorder="1" applyAlignment="1">
      <alignment horizontal="center" vertical="center" wrapText="1"/>
    </xf>
    <xf numFmtId="0" fontId="0" fillId="0" borderId="9" xfId="7" applyNumberFormat="1" applyFont="1" applyBorder="1"/>
    <xf numFmtId="0" fontId="1" fillId="0" borderId="12" xfId="10" applyNumberFormat="1" applyBorder="1" applyAlignment="1">
      <alignment horizontal="right" vertical="center"/>
    </xf>
    <xf numFmtId="0" fontId="1" fillId="0" borderId="13" xfId="10" applyNumberFormat="1" applyBorder="1" applyAlignment="1">
      <alignment horizontal="right" vertical="center"/>
    </xf>
    <xf numFmtId="0" fontId="1" fillId="0" borderId="14" xfId="10" applyNumberFormat="1" applyBorder="1" applyAlignment="1">
      <alignment horizontal="right" vertical="center"/>
    </xf>
    <xf numFmtId="0" fontId="0" fillId="0" borderId="10" xfId="7" applyNumberFormat="1" applyFont="1" applyBorder="1"/>
    <xf numFmtId="0" fontId="1" fillId="0" borderId="0" xfId="10" applyNumberFormat="1" applyAlignment="1">
      <alignment horizontal="right" vertical="center"/>
    </xf>
    <xf numFmtId="0" fontId="1" fillId="0" borderId="8" xfId="10" applyNumberFormat="1" applyBorder="1" applyAlignment="1">
      <alignment horizontal="right" vertical="center"/>
    </xf>
    <xf numFmtId="0" fontId="1" fillId="0" borderId="15" xfId="10" applyNumberFormat="1" applyBorder="1" applyAlignment="1">
      <alignment horizontal="right" vertical="center"/>
    </xf>
    <xf numFmtId="0" fontId="1" fillId="0" borderId="16" xfId="10" applyNumberFormat="1" applyBorder="1" applyAlignment="1">
      <alignment horizontal="right" vertical="center"/>
    </xf>
    <xf numFmtId="0" fontId="1" fillId="0" borderId="17" xfId="10" applyNumberFormat="1" applyBorder="1" applyAlignment="1">
      <alignment horizontal="right" vertical="center"/>
    </xf>
    <xf numFmtId="0" fontId="1" fillId="0" borderId="18" xfId="10" applyNumberFormat="1" applyBorder="1" applyAlignment="1">
      <alignment horizontal="right" vertical="center"/>
    </xf>
    <xf numFmtId="0" fontId="0" fillId="0" borderId="11" xfId="7" applyNumberFormat="1" applyFont="1" applyBorder="1"/>
    <xf numFmtId="0" fontId="1" fillId="0" borderId="5" xfId="10" applyNumberFormat="1" applyBorder="1" applyAlignment="1">
      <alignment horizontal="right" vertical="center"/>
    </xf>
    <xf numFmtId="0" fontId="1" fillId="0" borderId="6" xfId="10" applyNumberFormat="1" applyBorder="1" applyAlignment="1">
      <alignment horizontal="right" vertical="center"/>
    </xf>
    <xf numFmtId="0" fontId="12" fillId="2" borderId="0" xfId="1" applyFont="1" applyFill="1" applyAlignment="1">
      <alignment vertical="center"/>
    </xf>
    <xf numFmtId="0" fontId="1" fillId="0" borderId="0" xfId="8"/>
    <xf numFmtId="0" fontId="1" fillId="0" borderId="2" xfId="10" applyNumberFormat="1" applyBorder="1" applyAlignment="1">
      <alignment horizontal="right" vertical="center"/>
    </xf>
    <xf numFmtId="0" fontId="1" fillId="0" borderId="3" xfId="10" applyNumberFormat="1" applyBorder="1" applyAlignment="1">
      <alignment horizontal="right" vertical="center"/>
    </xf>
    <xf numFmtId="3" fontId="0" fillId="0" borderId="1" xfId="0" applyNumberFormat="1" applyBorder="1"/>
    <xf numFmtId="3" fontId="1" fillId="0" borderId="2" xfId="10" applyNumberFormat="1" applyBorder="1" applyAlignment="1">
      <alignment horizontal="right" vertical="center"/>
    </xf>
    <xf numFmtId="3" fontId="0" fillId="0" borderId="7" xfId="0" applyNumberFormat="1" applyBorder="1"/>
    <xf numFmtId="3" fontId="1" fillId="0" borderId="0" xfId="10" applyNumberFormat="1" applyAlignment="1">
      <alignment horizontal="right" vertical="center"/>
    </xf>
    <xf numFmtId="3" fontId="0" fillId="0" borderId="4" xfId="0" applyNumberFormat="1" applyBorder="1"/>
    <xf numFmtId="3" fontId="1" fillId="0" borderId="5" xfId="10" applyNumberFormat="1" applyBorder="1" applyAlignment="1">
      <alignment horizontal="right" vertical="center"/>
    </xf>
    <xf numFmtId="2" fontId="11" fillId="6" borderId="2" xfId="1" applyNumberFormat="1" applyFont="1" applyFill="1" applyBorder="1" applyAlignment="1">
      <alignment horizontal="center" vertical="center" wrapText="1"/>
    </xf>
    <xf numFmtId="2" fontId="11" fillId="6" borderId="3" xfId="1" applyNumberFormat="1" applyFont="1" applyFill="1" applyBorder="1" applyAlignment="1">
      <alignment horizontal="center" vertical="center" wrapText="1"/>
    </xf>
    <xf numFmtId="3" fontId="0" fillId="0" borderId="7" xfId="0" quotePrefix="1" applyNumberFormat="1" applyBorder="1"/>
    <xf numFmtId="0" fontId="1" fillId="0" borderId="10" xfId="8" applyBorder="1"/>
    <xf numFmtId="0" fontId="1" fillId="0" borderId="11" xfId="8" applyBorder="1"/>
  </cellXfs>
  <cellStyles count="11">
    <cellStyle name="Millares" xfId="10" builtinId="3"/>
    <cellStyle name="Millares 10" xfId="4" xr:uid="{00000000-0005-0000-0000-000001000000}"/>
    <cellStyle name="Normal" xfId="0" builtinId="0"/>
    <cellStyle name="Normal 10" xfId="1" xr:uid="{00000000-0005-0000-0000-000003000000}"/>
    <cellStyle name="Normal 2" xfId="5" xr:uid="{00000000-0005-0000-0000-000004000000}"/>
    <cellStyle name="Normal 2 2" xfId="8" xr:uid="{00000000-0005-0000-0000-000005000000}"/>
    <cellStyle name="Normal 5 17" xfId="2" xr:uid="{00000000-0005-0000-0000-000006000000}"/>
    <cellStyle name="Porcentaje" xfId="7" builtinId="5"/>
    <cellStyle name="Porcentaje 2" xfId="3" xr:uid="{00000000-0005-0000-0000-000008000000}"/>
    <cellStyle name="Porcentaje 3" xfId="6" xr:uid="{00000000-0005-0000-0000-000009000000}"/>
    <cellStyle name="Porcentaje 3 2" xfId="9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Front Pag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1014427</xdr:colOff>
      <xdr:row>18</xdr:row>
      <xdr:rowOff>47625</xdr:rowOff>
    </xdr:from>
    <xdr:to>
      <xdr:col>3</xdr:col>
      <xdr:colOff>676291</xdr:colOff>
      <xdr:row>20</xdr:row>
      <xdr:rowOff>85725</xdr:rowOff>
    </xdr:to>
    <xdr:sp macro="[0]!Show_pages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57427" y="3200400"/>
          <a:ext cx="1443039" cy="361950"/>
        </a:xfrm>
        <a:prstGeom prst="roundRect">
          <a:avLst/>
        </a:prstGeom>
        <a:gradFill>
          <a:gsLst>
            <a:gs pos="0">
              <a:schemeClr val="bg1">
                <a:lumMod val="65000"/>
              </a:schemeClr>
            </a:gs>
            <a:gs pos="80000">
              <a:schemeClr val="bg1">
                <a:lumMod val="75000"/>
              </a:schemeClr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Show Pages</a:t>
          </a:r>
          <a:endParaRPr lang="es-AR">
            <a:solidFill>
              <a:srgbClr val="002060"/>
            </a:solidFill>
            <a:effectLst/>
          </a:endParaRPr>
        </a:p>
        <a:p>
          <a:pPr marL="0" indent="0" algn="ctr"/>
          <a:endParaRPr lang="es-AR" sz="1100" b="1">
            <a:solidFill>
              <a:srgbClr val="00206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371490</xdr:colOff>
      <xdr:row>18</xdr:row>
      <xdr:rowOff>47625</xdr:rowOff>
    </xdr:from>
    <xdr:to>
      <xdr:col>1</xdr:col>
      <xdr:colOff>650892</xdr:colOff>
      <xdr:row>20</xdr:row>
      <xdr:rowOff>85725</xdr:rowOff>
    </xdr:to>
    <xdr:sp macro="[0]!Hide_pages" textlink="">
      <xdr:nvSpPr>
        <xdr:cNvPr id="3" name="4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1490" y="3200400"/>
          <a:ext cx="1422402" cy="361950"/>
        </a:xfrm>
        <a:prstGeom prst="roundRect">
          <a:avLst/>
        </a:prstGeom>
        <a:gradFill>
          <a:gsLst>
            <a:gs pos="0">
              <a:schemeClr val="bg1">
                <a:lumMod val="65000"/>
              </a:schemeClr>
            </a:gs>
            <a:gs pos="80000">
              <a:schemeClr val="bg1">
                <a:lumMod val="75000"/>
              </a:schemeClr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1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Hide Pages</a:t>
          </a:r>
        </a:p>
      </xdr:txBody>
    </xdr:sp>
    <xdr:clientData/>
  </xdr:twoCellAnchor>
  <xdr:twoCellAnchor editAs="oneCell">
    <xdr:from>
      <xdr:col>7</xdr:col>
      <xdr:colOff>199141</xdr:colOff>
      <xdr:row>0</xdr:row>
      <xdr:rowOff>24765</xdr:rowOff>
    </xdr:from>
    <xdr:to>
      <xdr:col>10</xdr:col>
      <xdr:colOff>285124</xdr:colOff>
      <xdr:row>4</xdr:row>
      <xdr:rowOff>289339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174EC7D-FA1C-423A-8BB0-8BDCACFF2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19516" y="24765"/>
          <a:ext cx="2429133" cy="8608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3666854</xdr:colOff>
      <xdr:row>2</xdr:row>
      <xdr:rowOff>50426</xdr:rowOff>
    </xdr:from>
    <xdr:to>
      <xdr:col>3</xdr:col>
      <xdr:colOff>1333500</xdr:colOff>
      <xdr:row>2</xdr:row>
      <xdr:rowOff>353786</xdr:rowOff>
    </xdr:to>
    <xdr:sp macro="" textlink="">
      <xdr:nvSpPr>
        <xdr:cNvPr id="2" name="5 Rectángulo redondea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DA887C-74F4-4B1D-BED1-7D471B8AF051}"/>
            </a:ext>
          </a:extLst>
        </xdr:cNvPr>
        <xdr:cNvSpPr/>
      </xdr:nvSpPr>
      <xdr:spPr>
        <a:xfrm>
          <a:off x="4038329" y="383801"/>
          <a:ext cx="1552846" cy="303360"/>
        </a:xfrm>
        <a:prstGeom prst="roundRect">
          <a:avLst/>
        </a:prstGeom>
        <a:gradFill>
          <a:gsLst>
            <a:gs pos="0">
              <a:schemeClr val="bg1">
                <a:lumMod val="65000"/>
              </a:schemeClr>
            </a:gs>
            <a:gs pos="80000">
              <a:schemeClr val="bg1">
                <a:lumMod val="75000"/>
              </a:schemeClr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1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Front Page</a:t>
          </a:r>
        </a:p>
      </xdr:txBody>
    </xdr:sp>
    <xdr:clientData/>
  </xdr:twoCellAnchor>
  <xdr:twoCellAnchor editAs="oneCell">
    <xdr:from>
      <xdr:col>2</xdr:col>
      <xdr:colOff>925286</xdr:colOff>
      <xdr:row>3</xdr:row>
      <xdr:rowOff>81010</xdr:rowOff>
    </xdr:from>
    <xdr:to>
      <xdr:col>2</xdr:col>
      <xdr:colOff>2651202</xdr:colOff>
      <xdr:row>3</xdr:row>
      <xdr:rowOff>707079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FD5E2A8-2718-4BF0-A454-EF08512A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286" y="788581"/>
          <a:ext cx="1733536" cy="6222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1">
    <tabColor rgb="FFFF0000"/>
  </sheetPr>
  <dimension ref="A1:G20"/>
  <sheetViews>
    <sheetView showGridLines="0" tabSelected="1" zoomScaleNormal="100" workbookViewId="0">
      <selection activeCell="A14" sqref="A14"/>
    </sheetView>
  </sheetViews>
  <sheetFormatPr baseColWidth="10" defaultColWidth="11.44140625" defaultRowHeight="13.2" x14ac:dyDescent="0.25"/>
  <cols>
    <col min="1" max="1" width="17.109375" customWidth="1"/>
    <col min="2" max="2" width="15.33203125" customWidth="1"/>
    <col min="7" max="7" width="76.88671875" customWidth="1"/>
  </cols>
  <sheetData>
    <row r="1" spans="1:7" ht="21" x14ac:dyDescent="0.4">
      <c r="A1" s="1" t="s">
        <v>51</v>
      </c>
      <c r="B1" s="1"/>
      <c r="C1" s="1"/>
      <c r="D1" s="1"/>
      <c r="E1" s="1"/>
      <c r="F1" s="1"/>
      <c r="G1" s="1"/>
    </row>
    <row r="2" spans="1:7" ht="6" customHeight="1" x14ac:dyDescent="0.25">
      <c r="A2" s="2"/>
      <c r="B2" s="2"/>
      <c r="C2" s="2"/>
      <c r="D2" s="2"/>
      <c r="E2" s="2"/>
      <c r="F2" s="2"/>
      <c r="G2" s="2"/>
    </row>
    <row r="3" spans="1:7" ht="6" customHeight="1" x14ac:dyDescent="0.25">
      <c r="A3" s="3">
        <v>1</v>
      </c>
      <c r="B3" s="2"/>
      <c r="C3" s="2"/>
      <c r="D3" s="2"/>
      <c r="E3" s="2"/>
      <c r="F3" s="2"/>
      <c r="G3" s="2"/>
    </row>
    <row r="4" spans="1:7" x14ac:dyDescent="0.25">
      <c r="A4" s="4" t="s">
        <v>0</v>
      </c>
      <c r="B4" s="5"/>
      <c r="C4" s="5"/>
      <c r="D4" s="5"/>
      <c r="E4" s="5"/>
      <c r="F4" s="5"/>
      <c r="G4" s="5"/>
    </row>
    <row r="5" spans="1:7" ht="31.5" customHeight="1" thickBot="1" x14ac:dyDescent="0.3">
      <c r="A5" s="6" t="s">
        <v>1</v>
      </c>
      <c r="B5" s="7"/>
      <c r="C5" s="7"/>
      <c r="D5" s="7"/>
      <c r="E5" s="7"/>
      <c r="F5" s="7"/>
      <c r="G5" s="7"/>
    </row>
    <row r="6" spans="1:7" ht="16.2" thickBot="1" x14ac:dyDescent="0.35">
      <c r="A6" s="8" t="s">
        <v>2</v>
      </c>
      <c r="B6" s="9"/>
      <c r="C6" s="9"/>
      <c r="D6" s="9"/>
      <c r="E6" s="9"/>
      <c r="F6" s="9"/>
      <c r="G6" s="10"/>
    </row>
    <row r="7" spans="1:7" x14ac:dyDescent="0.25">
      <c r="A7" s="11" t="s">
        <v>3</v>
      </c>
      <c r="B7" s="12">
        <v>1110</v>
      </c>
      <c r="C7" s="12"/>
      <c r="D7" s="12"/>
      <c r="E7" s="12"/>
      <c r="F7" s="12"/>
      <c r="G7" s="13"/>
    </row>
    <row r="8" spans="1:7" ht="13.8" thickBot="1" x14ac:dyDescent="0.3">
      <c r="A8" s="14" t="s">
        <v>4</v>
      </c>
      <c r="B8" s="15">
        <v>5450</v>
      </c>
      <c r="C8" s="15"/>
      <c r="D8" s="15"/>
      <c r="E8" s="15"/>
      <c r="F8" s="15"/>
      <c r="G8" s="16"/>
    </row>
    <row r="9" spans="1:7" x14ac:dyDescent="0.25">
      <c r="A9" s="11" t="s">
        <v>5</v>
      </c>
      <c r="B9" s="17" t="s">
        <v>92</v>
      </c>
      <c r="C9" s="12"/>
      <c r="D9" s="12"/>
      <c r="E9" s="12"/>
      <c r="F9" s="12"/>
      <c r="G9" s="13"/>
    </row>
    <row r="10" spans="1:7" x14ac:dyDescent="0.25">
      <c r="A10" s="18" t="s">
        <v>6</v>
      </c>
      <c r="B10" s="19">
        <v>43538</v>
      </c>
      <c r="C10" s="20"/>
      <c r="D10" s="20"/>
      <c r="E10" s="20"/>
      <c r="F10" s="20"/>
      <c r="G10" s="21"/>
    </row>
    <row r="11" spans="1:7" ht="13.8" thickBot="1" x14ac:dyDescent="0.3">
      <c r="A11" s="14" t="s">
        <v>7</v>
      </c>
      <c r="B11" s="22">
        <v>0.77255787037037038</v>
      </c>
      <c r="C11" s="15"/>
      <c r="D11" s="15"/>
      <c r="E11" s="15"/>
      <c r="F11" s="15"/>
      <c r="G11" s="16"/>
    </row>
    <row r="12" spans="1:7" x14ac:dyDescent="0.25">
      <c r="A12" s="11" t="s">
        <v>8</v>
      </c>
      <c r="B12" s="12" t="s">
        <v>53</v>
      </c>
      <c r="C12" s="12"/>
      <c r="D12" s="12"/>
      <c r="E12" s="12"/>
      <c r="F12" s="12"/>
      <c r="G12" s="13"/>
    </row>
    <row r="13" spans="1:7" x14ac:dyDescent="0.25">
      <c r="A13" s="18" t="s">
        <v>9</v>
      </c>
      <c r="B13" s="20" t="s">
        <v>94</v>
      </c>
      <c r="C13" s="20"/>
      <c r="D13" s="20"/>
      <c r="E13" s="20"/>
      <c r="F13" s="20"/>
      <c r="G13" s="21"/>
    </row>
    <row r="14" spans="1:7" ht="13.8" thickBot="1" x14ac:dyDescent="0.3">
      <c r="A14" s="14" t="s">
        <v>10</v>
      </c>
      <c r="B14" s="15"/>
      <c r="C14" s="15"/>
      <c r="D14" s="15"/>
      <c r="E14" s="15"/>
      <c r="F14" s="15"/>
      <c r="G14" s="16"/>
    </row>
    <row r="15" spans="1:7" x14ac:dyDescent="0.25">
      <c r="A15" s="5"/>
      <c r="B15" s="5"/>
      <c r="C15" s="5"/>
      <c r="D15" s="5"/>
      <c r="E15" s="5"/>
      <c r="F15" s="5"/>
      <c r="G15" s="5"/>
    </row>
    <row r="17" spans="1:7" x14ac:dyDescent="0.25">
      <c r="A17" s="37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</sheetData>
  <pageMargins left="0.75" right="0.75" top="1" bottom="1" header="0" footer="0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2">
    <tabColor rgb="FF92D050"/>
  </sheetPr>
  <dimension ref="A1:C2"/>
  <sheetViews>
    <sheetView workbookViewId="0">
      <selection sqref="A1:C2"/>
    </sheetView>
  </sheetViews>
  <sheetFormatPr baseColWidth="10" defaultColWidth="11.44140625" defaultRowHeight="13.2" x14ac:dyDescent="0.25"/>
  <cols>
    <col min="3" max="3" width="45.109375" bestFit="1" customWidth="1"/>
  </cols>
  <sheetData>
    <row r="1" spans="1:3" x14ac:dyDescent="0.25">
      <c r="A1" t="s">
        <v>11</v>
      </c>
      <c r="B1" t="str">
        <f>+TEXT('Front Page'!A6,"0")</f>
        <v>Template Information Area (Autommatically generated when saving)</v>
      </c>
      <c r="C1" t="str">
        <f>IF(B1="Saving date",TEXT('Front Page'!B6,"dd/mm/yyyy"),IF(B1="Saving time",TEXT('Front Page'!B6,"hh:mm:ss"),TEXT('Front Page'!B6,"0")))</f>
        <v>0</v>
      </c>
    </row>
    <row r="2" spans="1:3" x14ac:dyDescent="0.25">
      <c r="A2" t="s">
        <v>11</v>
      </c>
      <c r="B2" t="str">
        <f>+TEXT('Front Page'!A7,"0")</f>
        <v>Version</v>
      </c>
      <c r="C2" t="str">
        <f>IF(B2="Saving date",TEXT('Front Page'!B7,"dd/mm/yyyy"),IF(B2="Saving time",TEXT('Front Page'!B7,"hh:mm:ss"),TEXT('Front Page'!B7,"0")))</f>
        <v>1110</v>
      </c>
    </row>
  </sheetData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">
    <tabColor rgb="FFFF0000"/>
  </sheetPr>
  <dimension ref="A1:AWF503"/>
  <sheetViews>
    <sheetView showGridLines="0" zoomScale="70" zoomScaleNormal="70" workbookViewId="0"/>
  </sheetViews>
  <sheetFormatPr baseColWidth="10" defaultColWidth="0" defaultRowHeight="0" customHeight="1" zeroHeight="1" x14ac:dyDescent="0.25"/>
  <cols>
    <col min="1" max="1" width="4.44140625" style="23" customWidth="1"/>
    <col min="2" max="2" width="1.109375" style="23" customWidth="1"/>
    <col min="3" max="3" width="58.33203125" style="23" bestFit="1" customWidth="1"/>
    <col min="4" max="4" width="6" style="23" customWidth="1"/>
    <col min="5" max="5" width="10.5546875" style="23" customWidth="1"/>
    <col min="6" max="7" width="10.109375" style="23" bestFit="1" customWidth="1"/>
    <col min="8" max="17" width="9.109375" style="23" bestFit="1" customWidth="1"/>
    <col min="18" max="21" width="9" style="23" bestFit="1" customWidth="1"/>
    <col min="22" max="22" width="9.109375" style="23" bestFit="1" customWidth="1"/>
    <col min="23" max="41" width="10.109375" style="23" bestFit="1" customWidth="1"/>
    <col min="42" max="44" width="12.33203125" style="23" bestFit="1" customWidth="1"/>
    <col min="45" max="77" width="9" style="23" bestFit="1" customWidth="1"/>
    <col min="78" max="93" width="10.6640625" style="23" customWidth="1"/>
    <col min="94" max="94" width="3.88671875" style="23" customWidth="1"/>
    <col min="95" max="96" width="11.33203125" style="23" hidden="1" customWidth="1"/>
    <col min="97" max="100" width="9" style="23" hidden="1" customWidth="1"/>
    <col min="101" max="102" width="30.44140625" style="23" hidden="1" customWidth="1"/>
    <col min="103" max="103" width="7.6640625" style="23" hidden="1" customWidth="1"/>
    <col min="104" max="105" width="21.44140625" style="23" hidden="1" customWidth="1"/>
    <col min="106" max="106" width="30.44140625" style="23" hidden="1" customWidth="1"/>
    <col min="107" max="107" width="37" style="23" hidden="1" customWidth="1"/>
    <col min="108" max="108" width="15" style="23" hidden="1" customWidth="1"/>
    <col min="109" max="109" width="24.88671875" style="23" hidden="1" customWidth="1"/>
    <col min="110" max="110" width="23.6640625" style="23" hidden="1" customWidth="1"/>
    <col min="111" max="111" width="30.5546875" style="23" hidden="1" customWidth="1"/>
    <col min="112" max="112" width="9" style="23" hidden="1" customWidth="1"/>
    <col min="113" max="115" width="12.6640625" style="23" hidden="1" customWidth="1"/>
    <col min="116" max="152" width="9" style="23" hidden="1" customWidth="1"/>
    <col min="153" max="481" width="0" style="23" hidden="1" customWidth="1"/>
    <col min="482" max="483" width="11.33203125" style="23" hidden="1" customWidth="1"/>
    <col min="484" max="487" width="9" style="23" hidden="1" customWidth="1"/>
    <col min="488" max="489" width="30.44140625" style="23" hidden="1" customWidth="1"/>
    <col min="490" max="490" width="7.6640625" style="23" hidden="1" customWidth="1"/>
    <col min="491" max="492" width="21.44140625" style="23" hidden="1" customWidth="1"/>
    <col min="493" max="493" width="30.44140625" style="23" hidden="1" customWidth="1"/>
    <col min="494" max="494" width="37" style="23" hidden="1" customWidth="1"/>
    <col min="495" max="495" width="15" style="23" hidden="1" customWidth="1"/>
    <col min="496" max="496" width="24.88671875" style="23" hidden="1" customWidth="1"/>
    <col min="497" max="497" width="23.6640625" style="23" hidden="1" customWidth="1"/>
    <col min="498" max="498" width="30.5546875" style="23" hidden="1" customWidth="1"/>
    <col min="499" max="499" width="9" style="23" hidden="1" customWidth="1"/>
    <col min="500" max="502" width="12.6640625" style="23" hidden="1" customWidth="1"/>
    <col min="503" max="503" width="0" style="23" hidden="1" customWidth="1"/>
    <col min="504" max="505" width="11.33203125" style="23" hidden="1" customWidth="1"/>
    <col min="506" max="509" width="9" style="23" hidden="1" customWidth="1"/>
    <col min="510" max="511" width="30.44140625" style="23" hidden="1" customWidth="1"/>
    <col min="512" max="512" width="7.6640625" style="23" hidden="1" customWidth="1"/>
    <col min="513" max="514" width="21.44140625" style="23" hidden="1" customWidth="1"/>
    <col min="515" max="515" width="30.44140625" style="23" hidden="1" customWidth="1"/>
    <col min="516" max="516" width="37" style="23" hidden="1" customWidth="1"/>
    <col min="517" max="517" width="15" style="23" hidden="1" customWidth="1"/>
    <col min="518" max="518" width="24.88671875" style="23" hidden="1" customWidth="1"/>
    <col min="519" max="519" width="23.6640625" style="23" hidden="1" customWidth="1"/>
    <col min="520" max="520" width="30.5546875" style="23" hidden="1" customWidth="1"/>
    <col min="521" max="521" width="9" style="23" hidden="1" customWidth="1"/>
    <col min="522" max="530" width="12.6640625" style="23" hidden="1" customWidth="1"/>
    <col min="531" max="625" width="0" style="23" hidden="1" customWidth="1"/>
    <col min="626" max="627" width="11.33203125" style="23" hidden="1" customWidth="1"/>
    <col min="628" max="631" width="9" style="23" hidden="1" customWidth="1"/>
    <col min="632" max="633" width="30.44140625" style="23" hidden="1" customWidth="1"/>
    <col min="634" max="634" width="7.6640625" style="23" hidden="1" customWidth="1"/>
    <col min="635" max="636" width="21.44140625" style="23" hidden="1" customWidth="1"/>
    <col min="637" max="637" width="30.44140625" style="23" hidden="1" customWidth="1"/>
    <col min="638" max="638" width="37" style="23" hidden="1" customWidth="1"/>
    <col min="639" max="639" width="15" style="23" hidden="1" customWidth="1"/>
    <col min="640" max="640" width="24.88671875" style="23" hidden="1" customWidth="1"/>
    <col min="641" max="641" width="23.6640625" style="23" hidden="1" customWidth="1"/>
    <col min="642" max="642" width="30.5546875" style="23" hidden="1" customWidth="1"/>
    <col min="643" max="643" width="9" style="23" hidden="1" customWidth="1"/>
    <col min="644" max="646" width="12.6640625" style="23" hidden="1" customWidth="1"/>
    <col min="647" max="647" width="0" style="23" hidden="1" customWidth="1"/>
    <col min="648" max="649" width="11.33203125" style="23" hidden="1" customWidth="1"/>
    <col min="650" max="653" width="9" style="23" hidden="1" customWidth="1"/>
    <col min="654" max="655" width="30.44140625" style="23" hidden="1" customWidth="1"/>
    <col min="656" max="656" width="7.6640625" style="23" hidden="1" customWidth="1"/>
    <col min="657" max="658" width="21.44140625" style="23" hidden="1" customWidth="1"/>
    <col min="659" max="659" width="30.44140625" style="23" hidden="1" customWidth="1"/>
    <col min="660" max="660" width="37" style="23" hidden="1" customWidth="1"/>
    <col min="661" max="661" width="15" style="23" hidden="1" customWidth="1"/>
    <col min="662" max="662" width="24.88671875" style="23" hidden="1" customWidth="1"/>
    <col min="663" max="663" width="23.6640625" style="23" hidden="1" customWidth="1"/>
    <col min="664" max="664" width="30.5546875" style="23" hidden="1" customWidth="1"/>
    <col min="665" max="665" width="9" style="23" hidden="1" customWidth="1"/>
    <col min="666" max="674" width="12.6640625" style="23" hidden="1" customWidth="1"/>
    <col min="675" max="729" width="0" style="23" hidden="1" customWidth="1"/>
    <col min="730" max="731" width="11.33203125" style="23" hidden="1" customWidth="1"/>
    <col min="732" max="735" width="9" style="23" hidden="1" customWidth="1"/>
    <col min="736" max="737" width="30.44140625" style="23" hidden="1" customWidth="1"/>
    <col min="738" max="738" width="7.6640625" style="23" hidden="1" customWidth="1"/>
    <col min="739" max="740" width="21.44140625" style="23" hidden="1" customWidth="1"/>
    <col min="741" max="741" width="30.44140625" style="23" hidden="1" customWidth="1"/>
    <col min="742" max="742" width="37" style="23" hidden="1" customWidth="1"/>
    <col min="743" max="743" width="15" style="23" hidden="1" customWidth="1"/>
    <col min="744" max="744" width="24.88671875" style="23" hidden="1" customWidth="1"/>
    <col min="745" max="745" width="23.6640625" style="23" hidden="1" customWidth="1"/>
    <col min="746" max="746" width="30.5546875" style="23" hidden="1" customWidth="1"/>
    <col min="747" max="747" width="9" style="23" hidden="1" customWidth="1"/>
    <col min="748" max="750" width="12.6640625" style="23" hidden="1" customWidth="1"/>
    <col min="751" max="751" width="0" style="23" hidden="1" customWidth="1"/>
    <col min="752" max="753" width="11.33203125" style="23" hidden="1" customWidth="1"/>
    <col min="754" max="757" width="9" style="23" hidden="1" customWidth="1"/>
    <col min="758" max="759" width="30.44140625" style="23" hidden="1" customWidth="1"/>
    <col min="760" max="760" width="7.6640625" style="23" hidden="1" customWidth="1"/>
    <col min="761" max="762" width="21.44140625" style="23" hidden="1" customWidth="1"/>
    <col min="763" max="763" width="30.44140625" style="23" hidden="1" customWidth="1"/>
    <col min="764" max="764" width="37" style="23" hidden="1" customWidth="1"/>
    <col min="765" max="765" width="15" style="23" hidden="1" customWidth="1"/>
    <col min="766" max="766" width="24.88671875" style="23" hidden="1" customWidth="1"/>
    <col min="767" max="767" width="23.6640625" style="23" hidden="1" customWidth="1"/>
    <col min="768" max="768" width="30.5546875" style="23" hidden="1" customWidth="1"/>
    <col min="769" max="769" width="9" style="23" hidden="1" customWidth="1"/>
    <col min="770" max="778" width="12.6640625" style="23" hidden="1" customWidth="1"/>
    <col min="779" max="873" width="0" style="23" hidden="1" customWidth="1"/>
    <col min="874" max="875" width="11.33203125" style="23" hidden="1" customWidth="1"/>
    <col min="876" max="879" width="9" style="23" hidden="1" customWidth="1"/>
    <col min="880" max="881" width="30.44140625" style="23" hidden="1" customWidth="1"/>
    <col min="882" max="882" width="7.6640625" style="23" hidden="1" customWidth="1"/>
    <col min="883" max="884" width="21.44140625" style="23" hidden="1" customWidth="1"/>
    <col min="885" max="885" width="30.44140625" style="23" hidden="1" customWidth="1"/>
    <col min="886" max="886" width="37" style="23" hidden="1" customWidth="1"/>
    <col min="887" max="887" width="15" style="23" hidden="1" customWidth="1"/>
    <col min="888" max="888" width="24.88671875" style="23" hidden="1" customWidth="1"/>
    <col min="889" max="889" width="23.6640625" style="23" hidden="1" customWidth="1"/>
    <col min="890" max="890" width="30.5546875" style="23" hidden="1" customWidth="1"/>
    <col min="891" max="891" width="9" style="23" hidden="1" customWidth="1"/>
    <col min="892" max="894" width="12.6640625" style="23" hidden="1" customWidth="1"/>
    <col min="895" max="895" width="0" style="23" hidden="1" customWidth="1"/>
    <col min="896" max="897" width="11.33203125" style="23" hidden="1" customWidth="1"/>
    <col min="898" max="901" width="9" style="23" hidden="1" customWidth="1"/>
    <col min="902" max="903" width="30.44140625" style="23" hidden="1" customWidth="1"/>
    <col min="904" max="904" width="7.6640625" style="23" hidden="1" customWidth="1"/>
    <col min="905" max="906" width="21.44140625" style="23" hidden="1" customWidth="1"/>
    <col min="907" max="907" width="30.44140625" style="23" hidden="1" customWidth="1"/>
    <col min="908" max="908" width="37" style="23" hidden="1" customWidth="1"/>
    <col min="909" max="909" width="15" style="23" hidden="1" customWidth="1"/>
    <col min="910" max="910" width="24.88671875" style="23" hidden="1" customWidth="1"/>
    <col min="911" max="911" width="23.6640625" style="23" hidden="1" customWidth="1"/>
    <col min="912" max="912" width="30.5546875" style="23" hidden="1" customWidth="1"/>
    <col min="913" max="913" width="9" style="23" hidden="1" customWidth="1"/>
    <col min="914" max="925" width="12.6640625" style="23" hidden="1" customWidth="1"/>
    <col min="926" max="926" width="0" style="23" hidden="1" customWidth="1"/>
    <col min="927" max="928" width="11.33203125" style="23" hidden="1" customWidth="1"/>
    <col min="929" max="932" width="9" style="23" hidden="1" customWidth="1"/>
    <col min="933" max="934" width="30.44140625" style="23" hidden="1" customWidth="1"/>
    <col min="935" max="935" width="7.6640625" style="23" hidden="1" customWidth="1"/>
    <col min="936" max="937" width="21.44140625" style="23" hidden="1" customWidth="1"/>
    <col min="938" max="938" width="30.44140625" style="23" hidden="1" customWidth="1"/>
    <col min="939" max="939" width="37" style="23" hidden="1" customWidth="1"/>
    <col min="940" max="940" width="15" style="23" hidden="1" customWidth="1"/>
    <col min="941" max="941" width="24.88671875" style="23" hidden="1" customWidth="1"/>
    <col min="942" max="942" width="23.6640625" style="23" hidden="1" customWidth="1"/>
    <col min="943" max="943" width="30.5546875" style="23" hidden="1" customWidth="1"/>
    <col min="944" max="944" width="9" style="23" hidden="1" customWidth="1"/>
    <col min="945" max="955" width="12.6640625" style="23" hidden="1" customWidth="1"/>
    <col min="956" max="1010" width="0" style="23" hidden="1" customWidth="1"/>
    <col min="1011" max="1012" width="11.33203125" style="23" hidden="1" customWidth="1"/>
    <col min="1013" max="1016" width="9" style="23" hidden="1" customWidth="1"/>
    <col min="1017" max="1018" width="30.44140625" style="23" hidden="1" customWidth="1"/>
    <col min="1019" max="1019" width="7.6640625" style="23" hidden="1" customWidth="1"/>
    <col min="1020" max="1021" width="21.44140625" style="23" hidden="1" customWidth="1"/>
    <col min="1022" max="1022" width="30.44140625" style="23" hidden="1" customWidth="1"/>
    <col min="1023" max="1023" width="37" style="23" hidden="1" customWidth="1"/>
    <col min="1024" max="1024" width="15" style="23" hidden="1" customWidth="1"/>
    <col min="1025" max="1025" width="24.88671875" style="23" hidden="1" customWidth="1"/>
    <col min="1026" max="1026" width="23.6640625" style="23" hidden="1" customWidth="1"/>
    <col min="1027" max="1027" width="30.5546875" style="23" hidden="1" customWidth="1"/>
    <col min="1028" max="1028" width="9" style="23" hidden="1" customWidth="1"/>
    <col min="1029" max="1031" width="12.6640625" style="23" hidden="1" customWidth="1"/>
    <col min="1032" max="1032" width="0" style="23" hidden="1" customWidth="1"/>
    <col min="1033" max="1034" width="11.33203125" style="23" hidden="1" customWidth="1"/>
    <col min="1035" max="1038" width="9" style="23" hidden="1" customWidth="1"/>
    <col min="1039" max="1040" width="30.44140625" style="23" hidden="1" customWidth="1"/>
    <col min="1041" max="1041" width="7.6640625" style="23" hidden="1" customWidth="1"/>
    <col min="1042" max="1043" width="21.44140625" style="23" hidden="1" customWidth="1"/>
    <col min="1044" max="1044" width="30.44140625" style="23" hidden="1" customWidth="1"/>
    <col min="1045" max="1045" width="37" style="23" hidden="1" customWidth="1"/>
    <col min="1046" max="1046" width="15" style="23" hidden="1" customWidth="1"/>
    <col min="1047" max="1047" width="24.88671875" style="23" hidden="1" customWidth="1"/>
    <col min="1048" max="1048" width="23.6640625" style="23" hidden="1" customWidth="1"/>
    <col min="1049" max="1049" width="30.5546875" style="23" hidden="1" customWidth="1"/>
    <col min="1050" max="1050" width="9" style="23" hidden="1" customWidth="1"/>
    <col min="1051" max="1062" width="12.6640625" style="23" hidden="1" customWidth="1"/>
    <col min="1063" max="1063" width="0" style="23" hidden="1" customWidth="1"/>
    <col min="1064" max="1065" width="11.33203125" style="23" hidden="1" customWidth="1"/>
    <col min="1066" max="1069" width="9" style="23" hidden="1" customWidth="1"/>
    <col min="1070" max="1071" width="30.44140625" style="23" hidden="1" customWidth="1"/>
    <col min="1072" max="1072" width="7.6640625" style="23" hidden="1" customWidth="1"/>
    <col min="1073" max="1074" width="21.44140625" style="23" hidden="1" customWidth="1"/>
    <col min="1075" max="1075" width="30.44140625" style="23" hidden="1" customWidth="1"/>
    <col min="1076" max="1076" width="37" style="23" hidden="1" customWidth="1"/>
    <col min="1077" max="1077" width="15" style="23" hidden="1" customWidth="1"/>
    <col min="1078" max="1078" width="24.88671875" style="23" hidden="1" customWidth="1"/>
    <col min="1079" max="1079" width="23.6640625" style="23" hidden="1" customWidth="1"/>
    <col min="1080" max="1080" width="30.5546875" style="23" hidden="1" customWidth="1"/>
    <col min="1081" max="1081" width="9" style="23" hidden="1" customWidth="1"/>
    <col min="1082" max="1093" width="12.6640625" style="23" hidden="1" customWidth="1"/>
    <col min="1094" max="1106" width="0" style="23" hidden="1" customWidth="1"/>
    <col min="1107" max="1108" width="11.33203125" style="23" hidden="1" customWidth="1"/>
    <col min="1109" max="1112" width="9" style="23" hidden="1" customWidth="1"/>
    <col min="1113" max="1114" width="30.44140625" style="23" hidden="1" customWidth="1"/>
    <col min="1115" max="1115" width="7.6640625" style="23" hidden="1" customWidth="1"/>
    <col min="1116" max="1117" width="21.44140625" style="23" hidden="1" customWidth="1"/>
    <col min="1118" max="1118" width="30.44140625" style="23" hidden="1" customWidth="1"/>
    <col min="1119" max="1119" width="37" style="23" hidden="1" customWidth="1"/>
    <col min="1120" max="1120" width="15" style="23" hidden="1" customWidth="1"/>
    <col min="1121" max="1121" width="24.88671875" style="23" hidden="1" customWidth="1"/>
    <col min="1122" max="1122" width="23.6640625" style="23" hidden="1" customWidth="1"/>
    <col min="1123" max="1123" width="30.5546875" style="23" hidden="1" customWidth="1"/>
    <col min="1124" max="1124" width="9" style="23" hidden="1" customWidth="1"/>
    <col min="1125" max="1127" width="12.6640625" style="23" hidden="1" customWidth="1"/>
    <col min="1128" max="1128" width="0" style="23" hidden="1" customWidth="1"/>
    <col min="1129" max="1130" width="11.33203125" style="23" hidden="1" customWidth="1"/>
    <col min="1131" max="1134" width="9" style="23" hidden="1" customWidth="1"/>
    <col min="1135" max="1136" width="30.44140625" style="23" hidden="1" customWidth="1"/>
    <col min="1137" max="1137" width="7.6640625" style="23" hidden="1" customWidth="1"/>
    <col min="1138" max="1139" width="21.44140625" style="23" hidden="1" customWidth="1"/>
    <col min="1140" max="1140" width="30.44140625" style="23" hidden="1" customWidth="1"/>
    <col min="1141" max="1141" width="37" style="23" hidden="1" customWidth="1"/>
    <col min="1142" max="1142" width="15" style="23" hidden="1" customWidth="1"/>
    <col min="1143" max="1143" width="24.88671875" style="23" hidden="1" customWidth="1"/>
    <col min="1144" max="1144" width="23.6640625" style="23" hidden="1" customWidth="1"/>
    <col min="1145" max="1145" width="30.5546875" style="23" hidden="1" customWidth="1"/>
    <col min="1146" max="1146" width="9" style="23" hidden="1" customWidth="1"/>
    <col min="1147" max="1158" width="12.6640625" style="23" hidden="1" customWidth="1"/>
    <col min="1159" max="1159" width="0" style="23" hidden="1" customWidth="1"/>
    <col min="1160" max="1161" width="11.33203125" style="23" hidden="1" customWidth="1"/>
    <col min="1162" max="1165" width="9" style="23" hidden="1" customWidth="1"/>
    <col min="1166" max="1167" width="30.44140625" style="23" hidden="1" customWidth="1"/>
    <col min="1168" max="1168" width="7.6640625" style="23" hidden="1" customWidth="1"/>
    <col min="1169" max="1170" width="21.44140625" style="23" hidden="1" customWidth="1"/>
    <col min="1171" max="1171" width="30.44140625" style="23" hidden="1" customWidth="1"/>
    <col min="1172" max="1172" width="37" style="23" hidden="1" customWidth="1"/>
    <col min="1173" max="1173" width="15" style="23" hidden="1" customWidth="1"/>
    <col min="1174" max="1174" width="24.88671875" style="23" hidden="1" customWidth="1"/>
    <col min="1175" max="1175" width="23.6640625" style="23" hidden="1" customWidth="1"/>
    <col min="1176" max="1176" width="30.5546875" style="23" hidden="1" customWidth="1"/>
    <col min="1177" max="1177" width="9" style="23" hidden="1" customWidth="1"/>
    <col min="1178" max="1194" width="12.6640625" style="23" hidden="1" customWidth="1"/>
    <col min="1195" max="1195" width="21.44140625" style="23" hidden="1" customWidth="1"/>
    <col min="1196" max="1196" width="30.44140625" style="23" hidden="1" customWidth="1"/>
    <col min="1197" max="1197" width="37" style="23" hidden="1" customWidth="1"/>
    <col min="1198" max="1198" width="15" style="23" hidden="1" customWidth="1"/>
    <col min="1199" max="1199" width="24.88671875" style="23" hidden="1" customWidth="1"/>
    <col min="1200" max="1200" width="23.6640625" style="23" hidden="1" customWidth="1"/>
    <col min="1201" max="1201" width="30.5546875" style="23" hidden="1" customWidth="1"/>
    <col min="1202" max="1202" width="9" style="23" hidden="1" customWidth="1"/>
    <col min="1203" max="1214" width="12.6640625" style="23" hidden="1" customWidth="1"/>
    <col min="1215" max="1215" width="0" style="23" hidden="1" customWidth="1"/>
    <col min="1216" max="1217" width="11.33203125" style="23" hidden="1" customWidth="1"/>
    <col min="1218" max="1221" width="9" style="23" hidden="1" customWidth="1"/>
    <col min="1222" max="1223" width="30.44140625" style="23" hidden="1" customWidth="1"/>
    <col min="1224" max="1224" width="7.6640625" style="23" hidden="1" customWidth="1"/>
    <col min="1225" max="1226" width="21.44140625" style="23" hidden="1" customWidth="1"/>
    <col min="1227" max="1227" width="30.44140625" style="23" hidden="1" customWidth="1"/>
    <col min="1228" max="1228" width="37" style="23" hidden="1" customWidth="1"/>
    <col min="1229" max="1229" width="15" style="23" hidden="1" customWidth="1"/>
    <col min="1230" max="1230" width="24.88671875" style="23" hidden="1" customWidth="1"/>
    <col min="1231" max="1231" width="23.6640625" style="23" hidden="1" customWidth="1"/>
    <col min="1232" max="1232" width="30.5546875" style="23" hidden="1" customWidth="1"/>
    <col min="1233" max="1233" width="9" style="23" hidden="1" customWidth="1"/>
    <col min="1234" max="1251" width="12.6640625" style="23" hidden="1" customWidth="1"/>
    <col min="1252" max="1252" width="37" style="23" hidden="1" customWidth="1"/>
    <col min="1253" max="1253" width="15" style="23" hidden="1" customWidth="1"/>
    <col min="1254" max="1254" width="24.88671875" style="23" hidden="1" customWidth="1"/>
    <col min="1255" max="1255" width="23.6640625" style="23" hidden="1" customWidth="1"/>
    <col min="1256" max="1256" width="30.5546875" style="23" hidden="1" customWidth="1"/>
    <col min="1257" max="1257" width="9" style="23" hidden="1" customWidth="1"/>
    <col min="1258" max="1280" width="12.6640625" style="23" hidden="1" customWidth="1"/>
    <col min="1281" max="16384" width="9" style="23" hidden="1"/>
  </cols>
  <sheetData>
    <row r="1" spans="1:162" ht="17.25" customHeight="1" thickBot="1" x14ac:dyDescent="0.35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/>
    </row>
    <row r="2" spans="1:162" ht="9" customHeight="1" x14ac:dyDescent="0.3">
      <c r="A2" s="27">
        <v>0</v>
      </c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/>
    </row>
    <row r="3" spans="1:162" ht="31.5" customHeight="1" x14ac:dyDescent="0.3">
      <c r="A3" s="27">
        <f>+MAX(2,COUNTA(C:C))</f>
        <v>39</v>
      </c>
      <c r="B3" s="26"/>
      <c r="C3" s="32" t="s">
        <v>52</v>
      </c>
      <c r="D3" s="53"/>
      <c r="E3" s="53"/>
      <c r="F3" s="5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/>
    </row>
    <row r="4" spans="1:162" ht="75" customHeight="1" x14ac:dyDescent="0.3">
      <c r="A4" s="27"/>
      <c r="B4" s="26"/>
      <c r="CP4"/>
    </row>
    <row r="5" spans="1:162" customFormat="1" ht="16.5" customHeight="1" thickBot="1" x14ac:dyDescent="0.35">
      <c r="A5" s="27"/>
      <c r="B5" s="26"/>
    </row>
    <row r="6" spans="1:162" ht="31.8" thickBot="1" x14ac:dyDescent="0.35">
      <c r="A6" s="27"/>
      <c r="B6" s="26"/>
      <c r="C6" s="38" t="s">
        <v>12</v>
      </c>
      <c r="D6" s="54"/>
      <c r="E6" s="38" t="s">
        <v>54</v>
      </c>
      <c r="F6" s="33">
        <v>2012.01</v>
      </c>
      <c r="G6" s="63">
        <f>+F6+0.01</f>
        <v>2012.02</v>
      </c>
      <c r="H6" s="63">
        <f t="shared" ref="H6:Q6" si="0">+G6+0.01</f>
        <v>2012.03</v>
      </c>
      <c r="I6" s="63">
        <f t="shared" si="0"/>
        <v>2012.04</v>
      </c>
      <c r="J6" s="63">
        <f t="shared" si="0"/>
        <v>2012.05</v>
      </c>
      <c r="K6" s="63">
        <f t="shared" si="0"/>
        <v>2012.06</v>
      </c>
      <c r="L6" s="63">
        <f t="shared" si="0"/>
        <v>2012.07</v>
      </c>
      <c r="M6" s="63">
        <f t="shared" si="0"/>
        <v>2012.08</v>
      </c>
      <c r="N6" s="63">
        <f t="shared" si="0"/>
        <v>2012.09</v>
      </c>
      <c r="O6" s="63">
        <f t="shared" si="0"/>
        <v>2012.1</v>
      </c>
      <c r="P6" s="63">
        <f t="shared" si="0"/>
        <v>2012.11</v>
      </c>
      <c r="Q6" s="64">
        <f t="shared" si="0"/>
        <v>2012.12</v>
      </c>
      <c r="R6" s="33">
        <f>+F6+1</f>
        <v>2013.01</v>
      </c>
      <c r="S6" s="63">
        <f t="shared" ref="S6:BY6" si="1">+G6+1</f>
        <v>2013.02</v>
      </c>
      <c r="T6" s="63">
        <f t="shared" si="1"/>
        <v>2013.03</v>
      </c>
      <c r="U6" s="63">
        <f t="shared" si="1"/>
        <v>2013.04</v>
      </c>
      <c r="V6" s="63">
        <f t="shared" si="1"/>
        <v>2013.05</v>
      </c>
      <c r="W6" s="63">
        <f t="shared" si="1"/>
        <v>2013.06</v>
      </c>
      <c r="X6" s="63">
        <f t="shared" si="1"/>
        <v>2013.07</v>
      </c>
      <c r="Y6" s="63">
        <f t="shared" si="1"/>
        <v>2013.08</v>
      </c>
      <c r="Z6" s="63">
        <f t="shared" si="1"/>
        <v>2013.09</v>
      </c>
      <c r="AA6" s="63">
        <f t="shared" si="1"/>
        <v>2013.1</v>
      </c>
      <c r="AB6" s="63">
        <f t="shared" si="1"/>
        <v>2013.11</v>
      </c>
      <c r="AC6" s="64">
        <f t="shared" si="1"/>
        <v>2013.12</v>
      </c>
      <c r="AD6" s="33">
        <f t="shared" si="1"/>
        <v>2014.01</v>
      </c>
      <c r="AE6" s="63">
        <f t="shared" si="1"/>
        <v>2014.02</v>
      </c>
      <c r="AF6" s="63">
        <f t="shared" si="1"/>
        <v>2014.03</v>
      </c>
      <c r="AG6" s="63">
        <f t="shared" si="1"/>
        <v>2014.04</v>
      </c>
      <c r="AH6" s="63">
        <f t="shared" si="1"/>
        <v>2014.05</v>
      </c>
      <c r="AI6" s="63">
        <f t="shared" si="1"/>
        <v>2014.06</v>
      </c>
      <c r="AJ6" s="63">
        <f t="shared" si="1"/>
        <v>2014.07</v>
      </c>
      <c r="AK6" s="63">
        <f t="shared" si="1"/>
        <v>2014.08</v>
      </c>
      <c r="AL6" s="63">
        <f t="shared" si="1"/>
        <v>2014.09</v>
      </c>
      <c r="AM6" s="63">
        <f t="shared" si="1"/>
        <v>2014.1</v>
      </c>
      <c r="AN6" s="63">
        <f t="shared" si="1"/>
        <v>2014.11</v>
      </c>
      <c r="AO6" s="64">
        <f t="shared" si="1"/>
        <v>2014.12</v>
      </c>
      <c r="AP6" s="33">
        <f t="shared" si="1"/>
        <v>2015.01</v>
      </c>
      <c r="AQ6" s="63">
        <f t="shared" si="1"/>
        <v>2015.02</v>
      </c>
      <c r="AR6" s="63">
        <f t="shared" si="1"/>
        <v>2015.03</v>
      </c>
      <c r="AS6" s="63">
        <f t="shared" si="1"/>
        <v>2015.04</v>
      </c>
      <c r="AT6" s="63">
        <f t="shared" si="1"/>
        <v>2015.05</v>
      </c>
      <c r="AU6" s="63">
        <f t="shared" si="1"/>
        <v>2015.06</v>
      </c>
      <c r="AV6" s="63">
        <f t="shared" si="1"/>
        <v>2015.07</v>
      </c>
      <c r="AW6" s="63">
        <f t="shared" si="1"/>
        <v>2015.08</v>
      </c>
      <c r="AX6" s="63">
        <f t="shared" si="1"/>
        <v>2015.09</v>
      </c>
      <c r="AY6" s="63">
        <f t="shared" si="1"/>
        <v>2015.1</v>
      </c>
      <c r="AZ6" s="63">
        <f t="shared" si="1"/>
        <v>2015.11</v>
      </c>
      <c r="BA6" s="64">
        <f t="shared" si="1"/>
        <v>2015.12</v>
      </c>
      <c r="BB6" s="33">
        <f t="shared" si="1"/>
        <v>2016.01</v>
      </c>
      <c r="BC6" s="63">
        <f t="shared" si="1"/>
        <v>2016.02</v>
      </c>
      <c r="BD6" s="63">
        <f t="shared" si="1"/>
        <v>2016.03</v>
      </c>
      <c r="BE6" s="63">
        <f t="shared" si="1"/>
        <v>2016.04</v>
      </c>
      <c r="BF6" s="63">
        <f t="shared" si="1"/>
        <v>2016.05</v>
      </c>
      <c r="BG6" s="63">
        <f t="shared" si="1"/>
        <v>2016.06</v>
      </c>
      <c r="BH6" s="63">
        <f t="shared" si="1"/>
        <v>2016.07</v>
      </c>
      <c r="BI6" s="63">
        <f t="shared" si="1"/>
        <v>2016.08</v>
      </c>
      <c r="BJ6" s="63">
        <f t="shared" si="1"/>
        <v>2016.09</v>
      </c>
      <c r="BK6" s="63">
        <f t="shared" si="1"/>
        <v>2016.1</v>
      </c>
      <c r="BL6" s="63">
        <f t="shared" si="1"/>
        <v>2016.11</v>
      </c>
      <c r="BM6" s="64">
        <f t="shared" si="1"/>
        <v>2016.12</v>
      </c>
      <c r="BN6" s="33">
        <f t="shared" si="1"/>
        <v>2017.01</v>
      </c>
      <c r="BO6" s="63">
        <f t="shared" si="1"/>
        <v>2017.02</v>
      </c>
      <c r="BP6" s="63">
        <f t="shared" si="1"/>
        <v>2017.03</v>
      </c>
      <c r="BQ6" s="63">
        <f t="shared" si="1"/>
        <v>2017.04</v>
      </c>
      <c r="BR6" s="63">
        <f t="shared" si="1"/>
        <v>2017.05</v>
      </c>
      <c r="BS6" s="63">
        <f t="shared" si="1"/>
        <v>2017.06</v>
      </c>
      <c r="BT6" s="63">
        <f t="shared" si="1"/>
        <v>2017.07</v>
      </c>
      <c r="BU6" s="63">
        <f t="shared" si="1"/>
        <v>2017.08</v>
      </c>
      <c r="BV6" s="63">
        <f t="shared" si="1"/>
        <v>2017.09</v>
      </c>
      <c r="BW6" s="63">
        <f t="shared" si="1"/>
        <v>2017.1</v>
      </c>
      <c r="BX6" s="63">
        <f t="shared" si="1"/>
        <v>2017.11</v>
      </c>
      <c r="BY6" s="64">
        <f t="shared" si="1"/>
        <v>2017.12</v>
      </c>
      <c r="CM6"/>
      <c r="CN6"/>
      <c r="CO6"/>
      <c r="CP6"/>
      <c r="CQ6" s="33">
        <v>2022.05</v>
      </c>
      <c r="CR6" s="33">
        <v>2022.06</v>
      </c>
      <c r="CS6" s="33">
        <v>2022.07</v>
      </c>
      <c r="CT6" s="33">
        <v>2022.08</v>
      </c>
      <c r="CU6" s="33">
        <v>2022.09</v>
      </c>
      <c r="CV6" s="33">
        <v>2022.1</v>
      </c>
      <c r="CW6" s="33">
        <v>2022.11</v>
      </c>
      <c r="CX6" s="33">
        <v>2022.12</v>
      </c>
      <c r="CY6" s="33">
        <v>2023.01</v>
      </c>
      <c r="CZ6" s="33">
        <v>2023.02</v>
      </c>
      <c r="DA6" s="33">
        <v>2023.03</v>
      </c>
      <c r="DB6" s="33">
        <v>2023.04</v>
      </c>
      <c r="DC6" s="33">
        <v>2023.05</v>
      </c>
      <c r="DD6" s="33">
        <v>2023.06</v>
      </c>
      <c r="DE6" s="33">
        <v>2023.07</v>
      </c>
      <c r="DF6" s="33">
        <v>2023.08</v>
      </c>
      <c r="DG6" s="33">
        <v>2023.09</v>
      </c>
      <c r="DH6" s="33">
        <v>2023.1</v>
      </c>
      <c r="DI6" s="33">
        <v>2023.11</v>
      </c>
      <c r="DJ6" s="33">
        <v>2023.12</v>
      </c>
      <c r="DK6" s="33">
        <v>2024.01</v>
      </c>
      <c r="DL6" s="33">
        <v>2024.02</v>
      </c>
      <c r="DM6" s="33">
        <v>2024.03</v>
      </c>
      <c r="DN6" s="33">
        <v>2024.04</v>
      </c>
      <c r="DO6" s="33">
        <v>2024.05</v>
      </c>
      <c r="DP6" s="33">
        <v>2024.06</v>
      </c>
      <c r="DQ6" s="33">
        <v>2024.07</v>
      </c>
      <c r="DR6" s="33">
        <v>2024.08</v>
      </c>
      <c r="DS6" s="33">
        <v>2024.09</v>
      </c>
      <c r="DT6" s="33">
        <v>2024.1</v>
      </c>
      <c r="DU6" s="33">
        <v>2024.11</v>
      </c>
      <c r="DV6" s="33">
        <v>2024.12</v>
      </c>
      <c r="DW6" s="33">
        <v>2025.01</v>
      </c>
      <c r="DX6" s="33">
        <v>2025.02</v>
      </c>
      <c r="DY6" s="33">
        <v>2025.03</v>
      </c>
      <c r="DZ6" s="33">
        <v>2025.04</v>
      </c>
      <c r="EA6" s="33">
        <v>2025.05</v>
      </c>
      <c r="EB6" s="33">
        <v>2025.06</v>
      </c>
      <c r="EC6" s="33">
        <v>2025.07</v>
      </c>
      <c r="ED6" s="33">
        <v>2025.08</v>
      </c>
      <c r="EE6" s="33">
        <v>2025.09</v>
      </c>
      <c r="EF6" s="33">
        <v>2025.1</v>
      </c>
      <c r="EG6" s="33">
        <v>2025.11</v>
      </c>
      <c r="EH6" s="33">
        <v>2025.12</v>
      </c>
      <c r="EI6" s="33">
        <v>2026.01</v>
      </c>
      <c r="EJ6" s="33">
        <v>2026.02</v>
      </c>
      <c r="EK6" s="33">
        <v>2026.03</v>
      </c>
      <c r="EL6" s="33">
        <v>2026.04</v>
      </c>
      <c r="EM6" s="33">
        <v>2026.05</v>
      </c>
      <c r="EN6" s="33">
        <v>2026.06</v>
      </c>
      <c r="EO6" s="33">
        <v>2026.07</v>
      </c>
      <c r="EP6" s="33">
        <v>2026.08</v>
      </c>
      <c r="EQ6" s="33">
        <v>2026.09</v>
      </c>
      <c r="ER6" s="33">
        <v>2026.1</v>
      </c>
      <c r="ES6" s="33">
        <v>2026.11</v>
      </c>
      <c r="ET6" s="33">
        <v>2026.12</v>
      </c>
      <c r="EU6" s="33">
        <v>2027.01</v>
      </c>
      <c r="EV6" s="33">
        <v>2027.02</v>
      </c>
      <c r="EW6" s="33">
        <v>2027.03</v>
      </c>
      <c r="EX6" s="33">
        <v>2027.04</v>
      </c>
      <c r="EY6" s="33">
        <v>2027.05</v>
      </c>
      <c r="EZ6" s="33">
        <v>2027.06</v>
      </c>
      <c r="FA6" s="33">
        <v>2027.07</v>
      </c>
      <c r="FB6" s="33">
        <v>2027.08</v>
      </c>
      <c r="FC6" s="33">
        <v>2027.09</v>
      </c>
      <c r="FD6" s="33">
        <v>2027.1</v>
      </c>
      <c r="FE6" s="33">
        <v>2027.11</v>
      </c>
      <c r="FF6" s="38">
        <v>2027.12</v>
      </c>
    </row>
    <row r="7" spans="1:162" ht="15" customHeight="1" x14ac:dyDescent="0.3">
      <c r="A7" s="27"/>
      <c r="B7" s="26"/>
      <c r="C7" s="39" t="s">
        <v>14</v>
      </c>
      <c r="D7" s="54"/>
      <c r="E7" s="66" t="s">
        <v>55</v>
      </c>
      <c r="F7" s="57">
        <v>100</v>
      </c>
      <c r="G7" s="58">
        <v>100</v>
      </c>
      <c r="H7" s="58">
        <v>100</v>
      </c>
      <c r="I7" s="58">
        <v>100</v>
      </c>
      <c r="J7" s="58">
        <v>100</v>
      </c>
      <c r="K7" s="58">
        <v>100</v>
      </c>
      <c r="L7" s="58">
        <v>100</v>
      </c>
      <c r="M7" s="58">
        <v>100</v>
      </c>
      <c r="N7" s="58">
        <v>100</v>
      </c>
      <c r="O7" s="58">
        <v>100</v>
      </c>
      <c r="P7" s="58">
        <v>100</v>
      </c>
      <c r="Q7" s="58">
        <v>100</v>
      </c>
      <c r="R7" s="58">
        <v>100</v>
      </c>
      <c r="S7" s="58">
        <v>100</v>
      </c>
      <c r="T7" s="58">
        <v>100</v>
      </c>
      <c r="U7" s="58">
        <v>100</v>
      </c>
      <c r="V7" s="58">
        <v>100</v>
      </c>
      <c r="W7" s="58">
        <v>100</v>
      </c>
      <c r="X7" s="58">
        <v>100</v>
      </c>
      <c r="Y7" s="58">
        <v>100</v>
      </c>
      <c r="Z7" s="58">
        <v>100</v>
      </c>
      <c r="AA7" s="58">
        <v>100</v>
      </c>
      <c r="AB7" s="58">
        <v>100</v>
      </c>
      <c r="AC7" s="58">
        <v>100</v>
      </c>
      <c r="AD7" s="58">
        <v>100</v>
      </c>
      <c r="AE7" s="58">
        <v>100</v>
      </c>
      <c r="AF7" s="58">
        <v>100</v>
      </c>
      <c r="AG7" s="58">
        <v>100</v>
      </c>
      <c r="AH7" s="58">
        <v>100</v>
      </c>
      <c r="AI7" s="58">
        <v>100</v>
      </c>
      <c r="AJ7" s="58">
        <v>100</v>
      </c>
      <c r="AK7" s="58">
        <v>100</v>
      </c>
      <c r="AL7" s="58">
        <v>100</v>
      </c>
      <c r="AM7" s="58">
        <v>100</v>
      </c>
      <c r="AN7" s="58">
        <v>100</v>
      </c>
      <c r="AO7" s="58">
        <v>100</v>
      </c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6"/>
      <c r="CM7"/>
      <c r="CN7"/>
      <c r="CO7"/>
      <c r="CP7"/>
      <c r="CQ7" s="40"/>
      <c r="CR7" s="40"/>
      <c r="CS7" s="40"/>
      <c r="CT7" s="40"/>
      <c r="CU7" s="40"/>
      <c r="CV7" s="40"/>
      <c r="CW7" s="40"/>
      <c r="CX7" s="41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1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1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1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1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2"/>
    </row>
    <row r="8" spans="1:162" ht="15" customHeight="1" x14ac:dyDescent="0.3">
      <c r="A8" s="27"/>
      <c r="B8" s="26"/>
      <c r="C8" s="43" t="s">
        <v>15</v>
      </c>
      <c r="D8" s="54"/>
      <c r="E8" s="66" t="s">
        <v>56</v>
      </c>
      <c r="F8" s="59">
        <v>100</v>
      </c>
      <c r="G8" s="60">
        <v>100</v>
      </c>
      <c r="H8" s="60">
        <v>100</v>
      </c>
      <c r="I8" s="60">
        <v>100</v>
      </c>
      <c r="J8" s="60">
        <v>100</v>
      </c>
      <c r="K8" s="60">
        <v>100</v>
      </c>
      <c r="L8" s="60">
        <v>100</v>
      </c>
      <c r="M8" s="60">
        <v>100</v>
      </c>
      <c r="N8" s="60">
        <v>100</v>
      </c>
      <c r="O8" s="60">
        <v>100</v>
      </c>
      <c r="P8" s="60">
        <v>100</v>
      </c>
      <c r="Q8" s="60">
        <v>100</v>
      </c>
      <c r="R8" s="60">
        <v>100</v>
      </c>
      <c r="S8" s="60">
        <v>100</v>
      </c>
      <c r="T8" s="60">
        <v>100</v>
      </c>
      <c r="U8" s="60">
        <v>100</v>
      </c>
      <c r="V8" s="60">
        <v>100</v>
      </c>
      <c r="W8" s="60">
        <v>100</v>
      </c>
      <c r="X8" s="60">
        <v>100</v>
      </c>
      <c r="Y8" s="60">
        <v>100</v>
      </c>
      <c r="Z8" s="60">
        <v>100</v>
      </c>
      <c r="AA8" s="60">
        <v>100</v>
      </c>
      <c r="AB8" s="60">
        <v>100</v>
      </c>
      <c r="AC8" s="60">
        <v>100</v>
      </c>
      <c r="AD8" s="60">
        <v>100</v>
      </c>
      <c r="AE8" s="60">
        <v>100</v>
      </c>
      <c r="AF8" s="60">
        <v>100</v>
      </c>
      <c r="AG8" s="60">
        <v>100</v>
      </c>
      <c r="AH8" s="60">
        <v>100</v>
      </c>
      <c r="AI8" s="60">
        <v>100</v>
      </c>
      <c r="AJ8" s="60">
        <v>100</v>
      </c>
      <c r="AK8" s="60">
        <v>100</v>
      </c>
      <c r="AL8" s="60">
        <v>100</v>
      </c>
      <c r="AM8" s="60">
        <v>100</v>
      </c>
      <c r="AN8" s="60">
        <v>100</v>
      </c>
      <c r="AO8" s="60">
        <v>100</v>
      </c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5"/>
      <c r="CM8"/>
      <c r="CN8"/>
      <c r="CO8"/>
      <c r="CP8"/>
      <c r="CQ8" s="44"/>
      <c r="CR8" s="44"/>
      <c r="CS8" s="44"/>
      <c r="CT8" s="44"/>
      <c r="CU8" s="44"/>
      <c r="CV8" s="44"/>
      <c r="CW8" s="44"/>
      <c r="CX8" s="45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5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5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5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5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6"/>
    </row>
    <row r="9" spans="1:162" ht="15" customHeight="1" x14ac:dyDescent="0.3">
      <c r="A9" s="27"/>
      <c r="B9" s="26"/>
      <c r="C9" s="43" t="s">
        <v>16</v>
      </c>
      <c r="D9" s="54"/>
      <c r="E9" s="66" t="s">
        <v>58</v>
      </c>
      <c r="F9" s="59">
        <v>100</v>
      </c>
      <c r="G9" s="60">
        <v>100</v>
      </c>
      <c r="H9" s="60">
        <v>100</v>
      </c>
      <c r="I9" s="60">
        <v>100</v>
      </c>
      <c r="J9" s="60">
        <v>100</v>
      </c>
      <c r="K9" s="60">
        <v>100</v>
      </c>
      <c r="L9" s="60">
        <v>100</v>
      </c>
      <c r="M9" s="60">
        <v>100</v>
      </c>
      <c r="N9" s="60">
        <v>100</v>
      </c>
      <c r="O9" s="60">
        <v>100</v>
      </c>
      <c r="P9" s="60">
        <v>100</v>
      </c>
      <c r="Q9" s="60">
        <v>100</v>
      </c>
      <c r="R9" s="60">
        <v>100</v>
      </c>
      <c r="S9" s="60">
        <v>100</v>
      </c>
      <c r="T9" s="60">
        <v>100</v>
      </c>
      <c r="U9" s="60">
        <v>100</v>
      </c>
      <c r="V9" s="60">
        <v>100</v>
      </c>
      <c r="W9" s="60">
        <v>100</v>
      </c>
      <c r="X9" s="60">
        <v>100</v>
      </c>
      <c r="Y9" s="60">
        <v>100</v>
      </c>
      <c r="Z9" s="60">
        <v>100</v>
      </c>
      <c r="AA9" s="60">
        <v>100</v>
      </c>
      <c r="AB9" s="60">
        <v>100</v>
      </c>
      <c r="AC9" s="60">
        <v>100</v>
      </c>
      <c r="AD9" s="60">
        <v>100</v>
      </c>
      <c r="AE9" s="60">
        <v>100</v>
      </c>
      <c r="AF9" s="60">
        <v>100</v>
      </c>
      <c r="AG9" s="60">
        <v>100</v>
      </c>
      <c r="AH9" s="60">
        <v>100</v>
      </c>
      <c r="AI9" s="60">
        <v>100</v>
      </c>
      <c r="AJ9" s="60">
        <v>100</v>
      </c>
      <c r="AK9" s="60">
        <v>100</v>
      </c>
      <c r="AL9" s="60">
        <v>100</v>
      </c>
      <c r="AM9" s="60">
        <v>100</v>
      </c>
      <c r="AN9" s="60">
        <v>100</v>
      </c>
      <c r="AO9" s="60">
        <v>100</v>
      </c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5"/>
      <c r="CM9"/>
      <c r="CN9"/>
      <c r="CO9"/>
      <c r="CP9"/>
      <c r="CQ9" s="47"/>
      <c r="CR9" s="47"/>
      <c r="CS9" s="47"/>
      <c r="CT9" s="47"/>
      <c r="CU9" s="47"/>
      <c r="CV9" s="47"/>
      <c r="CW9" s="47"/>
      <c r="CX9" s="48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8"/>
      <c r="DK9" s="47"/>
      <c r="DL9" s="47"/>
      <c r="DM9" s="47"/>
      <c r="DN9" s="47"/>
      <c r="DO9" s="47"/>
      <c r="DP9" s="47"/>
      <c r="DQ9" s="47"/>
      <c r="DR9" s="47"/>
      <c r="DS9" s="47"/>
      <c r="DT9" s="47"/>
      <c r="DU9" s="47"/>
      <c r="DV9" s="48"/>
      <c r="DW9" s="47"/>
      <c r="DX9" s="47"/>
      <c r="DY9" s="47"/>
      <c r="DZ9" s="47"/>
      <c r="EA9" s="47"/>
      <c r="EB9" s="47"/>
      <c r="EC9" s="47"/>
      <c r="ED9" s="47"/>
      <c r="EE9" s="47"/>
      <c r="EF9" s="47"/>
      <c r="EG9" s="47"/>
      <c r="EH9" s="48"/>
      <c r="EI9" s="47"/>
      <c r="EJ9" s="47"/>
      <c r="EK9" s="47"/>
      <c r="EL9" s="47"/>
      <c r="EM9" s="47"/>
      <c r="EN9" s="47"/>
      <c r="EO9" s="47"/>
      <c r="EP9" s="47"/>
      <c r="EQ9" s="47"/>
      <c r="ER9" s="47"/>
      <c r="ES9" s="47"/>
      <c r="ET9" s="48"/>
      <c r="EU9" s="47"/>
      <c r="EV9" s="47"/>
      <c r="EW9" s="47"/>
      <c r="EX9" s="47"/>
      <c r="EY9" s="47"/>
      <c r="EZ9" s="47"/>
      <c r="FA9" s="47"/>
      <c r="FB9" s="47"/>
      <c r="FC9" s="47"/>
      <c r="FD9" s="47"/>
      <c r="FE9" s="47"/>
      <c r="FF9" s="49"/>
    </row>
    <row r="10" spans="1:162" ht="15" customHeight="1" x14ac:dyDescent="0.3">
      <c r="A10" s="27"/>
      <c r="B10" s="26"/>
      <c r="C10" s="43" t="s">
        <v>17</v>
      </c>
      <c r="D10" s="54"/>
      <c r="E10" s="66" t="s">
        <v>59</v>
      </c>
      <c r="F10" s="59">
        <v>2156379.4222967639</v>
      </c>
      <c r="G10" s="60">
        <v>2156379.4222967648</v>
      </c>
      <c r="H10" s="60">
        <v>1001346.8991849215</v>
      </c>
      <c r="I10" s="60">
        <v>1001346.8991849215</v>
      </c>
      <c r="J10" s="60">
        <v>1001346.8991849215</v>
      </c>
      <c r="K10" s="60">
        <v>1001346.8991849215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5"/>
      <c r="CM10"/>
      <c r="CN10"/>
      <c r="CO10"/>
      <c r="CP10"/>
      <c r="CQ10" s="40"/>
      <c r="CR10" s="40"/>
      <c r="CS10" s="40"/>
      <c r="CT10" s="40"/>
      <c r="CU10" s="40"/>
      <c r="CV10" s="40"/>
      <c r="CW10" s="40"/>
      <c r="CX10" s="41"/>
      <c r="CY10" s="40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1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1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1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1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2"/>
    </row>
    <row r="11" spans="1:162" ht="15" customHeight="1" x14ac:dyDescent="0.3">
      <c r="A11" s="27"/>
      <c r="B11" s="26"/>
      <c r="C11" s="43" t="s">
        <v>18</v>
      </c>
      <c r="D11" s="54"/>
      <c r="E11" s="66" t="s">
        <v>57</v>
      </c>
      <c r="F11" s="59">
        <v>194074.14800670874</v>
      </c>
      <c r="G11" s="60">
        <v>194074.14800670883</v>
      </c>
      <c r="H11" s="60">
        <v>90121.220926642927</v>
      </c>
      <c r="I11" s="60">
        <v>90121.220926642927</v>
      </c>
      <c r="J11" s="60">
        <v>90121.220926642927</v>
      </c>
      <c r="K11" s="60">
        <v>90121.220926642927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0</v>
      </c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5"/>
      <c r="CM11"/>
      <c r="CN11"/>
      <c r="CO11"/>
      <c r="CP11"/>
      <c r="CQ11" s="44"/>
      <c r="CR11" s="44"/>
      <c r="CS11" s="44"/>
      <c r="CT11" s="44"/>
      <c r="CU11" s="44"/>
      <c r="CV11" s="44"/>
      <c r="CW11" s="44"/>
      <c r="CX11" s="45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5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5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5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5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6"/>
    </row>
    <row r="12" spans="1:162" ht="15" customHeight="1" x14ac:dyDescent="0.3">
      <c r="A12" s="27"/>
      <c r="B12" s="26"/>
      <c r="C12" s="43" t="s">
        <v>19</v>
      </c>
      <c r="D12" s="54"/>
      <c r="E12" s="66" t="s">
        <v>93</v>
      </c>
      <c r="F12" s="59"/>
      <c r="G12" s="60"/>
      <c r="H12" s="60"/>
      <c r="I12" s="60"/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  <c r="P12" s="60">
        <v>0</v>
      </c>
      <c r="Q12" s="60">
        <v>0</v>
      </c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5"/>
      <c r="CM12"/>
      <c r="CN12"/>
      <c r="CO12"/>
      <c r="CP12"/>
      <c r="CQ12" s="47"/>
      <c r="CR12" s="47"/>
      <c r="CS12" s="47"/>
      <c r="CT12" s="47"/>
      <c r="CU12" s="47"/>
      <c r="CV12" s="47"/>
      <c r="CW12" s="47"/>
      <c r="CX12" s="48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8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8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8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8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9"/>
    </row>
    <row r="13" spans="1:162" ht="15" customHeight="1" x14ac:dyDescent="0.3">
      <c r="A13" s="27"/>
      <c r="B13" s="26"/>
      <c r="C13" s="43" t="s">
        <v>20</v>
      </c>
      <c r="D13" s="54"/>
      <c r="E13" s="66" t="s">
        <v>60</v>
      </c>
      <c r="F13" s="65">
        <v>100</v>
      </c>
      <c r="G13" s="60">
        <v>100</v>
      </c>
      <c r="H13" s="60">
        <v>100</v>
      </c>
      <c r="I13" s="60">
        <v>100</v>
      </c>
      <c r="J13" s="60">
        <v>100</v>
      </c>
      <c r="K13" s="60">
        <v>100</v>
      </c>
      <c r="L13" s="60">
        <v>100</v>
      </c>
      <c r="M13" s="60">
        <v>100</v>
      </c>
      <c r="N13" s="60">
        <v>100</v>
      </c>
      <c r="O13" s="60">
        <v>100</v>
      </c>
      <c r="P13" s="60">
        <v>100</v>
      </c>
      <c r="Q13" s="60">
        <v>100</v>
      </c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5"/>
      <c r="CM13"/>
      <c r="CN13"/>
      <c r="CO13"/>
      <c r="CP13"/>
      <c r="CQ13" s="44"/>
      <c r="CR13" s="44"/>
      <c r="CS13" s="44"/>
      <c r="CT13" s="44"/>
      <c r="CU13" s="44"/>
      <c r="CV13" s="44"/>
      <c r="CW13" s="44"/>
      <c r="CX13" s="45"/>
      <c r="CY13" s="44"/>
      <c r="CZ13" s="44"/>
      <c r="DA13" s="44"/>
      <c r="DB13" s="44"/>
      <c r="DC13" s="44"/>
      <c r="DD13" s="44"/>
      <c r="DE13" s="44"/>
      <c r="DF13" s="44"/>
      <c r="DG13" s="44"/>
      <c r="DH13" s="44"/>
      <c r="DI13" s="44"/>
      <c r="DJ13" s="45"/>
      <c r="DK13" s="44"/>
      <c r="DL13" s="44"/>
      <c r="DM13" s="44"/>
      <c r="DN13" s="44"/>
      <c r="DO13" s="44"/>
      <c r="DP13" s="44"/>
      <c r="DQ13" s="44"/>
      <c r="DR13" s="44"/>
      <c r="DS13" s="44"/>
      <c r="DT13" s="44"/>
      <c r="DU13" s="44"/>
      <c r="DV13" s="45"/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5"/>
      <c r="EI13" s="44"/>
      <c r="EJ13" s="44"/>
      <c r="EK13" s="44"/>
      <c r="EL13" s="44"/>
      <c r="EM13" s="44"/>
      <c r="EN13" s="44"/>
      <c r="EO13" s="44"/>
      <c r="EP13" s="44"/>
      <c r="EQ13" s="44"/>
      <c r="ER13" s="44"/>
      <c r="ES13" s="44"/>
      <c r="ET13" s="45"/>
      <c r="EU13" s="44"/>
      <c r="EV13" s="44"/>
      <c r="EW13" s="44"/>
      <c r="EX13" s="44"/>
      <c r="EY13" s="44"/>
      <c r="EZ13" s="44"/>
      <c r="FA13" s="44"/>
      <c r="FB13" s="44"/>
      <c r="FC13" s="44"/>
      <c r="FD13" s="44"/>
      <c r="FE13" s="44"/>
      <c r="FF13" s="46"/>
    </row>
    <row r="14" spans="1:162" ht="15" customHeight="1" x14ac:dyDescent="0.3">
      <c r="A14" s="27"/>
      <c r="B14" s="26"/>
      <c r="C14" s="43" t="s">
        <v>21</v>
      </c>
      <c r="D14" s="54"/>
      <c r="E14" s="66" t="s">
        <v>61</v>
      </c>
      <c r="F14" s="59">
        <v>100</v>
      </c>
      <c r="G14" s="60">
        <v>100</v>
      </c>
      <c r="H14" s="60">
        <v>100</v>
      </c>
      <c r="I14" s="60">
        <v>100</v>
      </c>
      <c r="J14" s="60">
        <v>100</v>
      </c>
      <c r="K14" s="60">
        <v>100</v>
      </c>
      <c r="L14" s="60">
        <v>100</v>
      </c>
      <c r="M14" s="60">
        <v>100</v>
      </c>
      <c r="N14" s="60">
        <v>100</v>
      </c>
      <c r="O14" s="60">
        <v>100</v>
      </c>
      <c r="P14" s="60">
        <v>100</v>
      </c>
      <c r="Q14" s="60">
        <v>100</v>
      </c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5"/>
      <c r="CM14"/>
      <c r="CN14"/>
      <c r="CO14"/>
      <c r="CP14"/>
      <c r="CQ14" s="44"/>
      <c r="CR14" s="44"/>
      <c r="CS14" s="44"/>
      <c r="CT14" s="44"/>
      <c r="CU14" s="44"/>
      <c r="CV14" s="44"/>
      <c r="CW14" s="44"/>
      <c r="CX14" s="45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5"/>
      <c r="DK14" s="44"/>
      <c r="DL14" s="44"/>
      <c r="DM14" s="44"/>
      <c r="DN14" s="44"/>
      <c r="DO14" s="44"/>
      <c r="DP14" s="44"/>
      <c r="DQ14" s="44"/>
      <c r="DR14" s="44"/>
      <c r="DS14" s="44"/>
      <c r="DT14" s="44"/>
      <c r="DU14" s="44"/>
      <c r="DV14" s="45"/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5"/>
      <c r="EI14" s="44"/>
      <c r="EJ14" s="44"/>
      <c r="EK14" s="44"/>
      <c r="EL14" s="44"/>
      <c r="EM14" s="44"/>
      <c r="EN14" s="44"/>
      <c r="EO14" s="44"/>
      <c r="EP14" s="44"/>
      <c r="EQ14" s="44"/>
      <c r="ER14" s="44"/>
      <c r="ES14" s="44"/>
      <c r="ET14" s="45"/>
      <c r="EU14" s="44"/>
      <c r="EV14" s="44"/>
      <c r="EW14" s="44"/>
      <c r="EX14" s="44"/>
      <c r="EY14" s="44"/>
      <c r="EZ14" s="44"/>
      <c r="FA14" s="44"/>
      <c r="FB14" s="44"/>
      <c r="FC14" s="44"/>
      <c r="FD14" s="44"/>
      <c r="FE14" s="44"/>
      <c r="FF14" s="46"/>
    </row>
    <row r="15" spans="1:162" ht="15" customHeight="1" x14ac:dyDescent="0.3">
      <c r="A15" s="27"/>
      <c r="B15" s="26"/>
      <c r="C15" s="43" t="s">
        <v>22</v>
      </c>
      <c r="D15" s="54"/>
      <c r="E15" s="66" t="s">
        <v>62</v>
      </c>
      <c r="F15" s="59">
        <v>100</v>
      </c>
      <c r="G15" s="60">
        <v>100</v>
      </c>
      <c r="H15" s="60">
        <v>100</v>
      </c>
      <c r="I15" s="60">
        <v>100</v>
      </c>
      <c r="J15" s="60">
        <v>100</v>
      </c>
      <c r="K15" s="60">
        <v>100</v>
      </c>
      <c r="L15" s="60">
        <v>100</v>
      </c>
      <c r="M15" s="60">
        <v>100</v>
      </c>
      <c r="N15" s="60">
        <v>100</v>
      </c>
      <c r="O15" s="60">
        <v>100</v>
      </c>
      <c r="P15" s="60">
        <v>100</v>
      </c>
      <c r="Q15" s="60">
        <v>100</v>
      </c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5"/>
      <c r="CM15"/>
      <c r="CN15"/>
      <c r="CO15"/>
      <c r="CP15"/>
      <c r="CQ15" s="44"/>
      <c r="CR15" s="44"/>
      <c r="CS15" s="44"/>
      <c r="CT15" s="44"/>
      <c r="CU15" s="44"/>
      <c r="CV15" s="44"/>
      <c r="CW15" s="44"/>
      <c r="CX15" s="45"/>
      <c r="CY15" s="44"/>
      <c r="CZ15" s="44"/>
      <c r="DA15" s="44"/>
      <c r="DB15" s="44"/>
      <c r="DC15" s="44"/>
      <c r="DD15" s="44"/>
      <c r="DE15" s="44"/>
      <c r="DF15" s="44"/>
      <c r="DG15" s="44"/>
      <c r="DH15" s="44"/>
      <c r="DI15" s="44"/>
      <c r="DJ15" s="45"/>
      <c r="DK15" s="44"/>
      <c r="DL15" s="44"/>
      <c r="DM15" s="44"/>
      <c r="DN15" s="44"/>
      <c r="DO15" s="44"/>
      <c r="DP15" s="44"/>
      <c r="DQ15" s="44"/>
      <c r="DR15" s="44"/>
      <c r="DS15" s="44"/>
      <c r="DT15" s="44"/>
      <c r="DU15" s="44"/>
      <c r="DV15" s="45"/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5"/>
      <c r="EI15" s="44"/>
      <c r="EJ15" s="44"/>
      <c r="EK15" s="44"/>
      <c r="EL15" s="44"/>
      <c r="EM15" s="44"/>
      <c r="EN15" s="44"/>
      <c r="EO15" s="44"/>
      <c r="EP15" s="44"/>
      <c r="EQ15" s="44"/>
      <c r="ER15" s="44"/>
      <c r="ES15" s="44"/>
      <c r="ET15" s="45"/>
      <c r="EU15" s="44"/>
      <c r="EV15" s="44"/>
      <c r="EW15" s="44"/>
      <c r="EX15" s="44"/>
      <c r="EY15" s="44"/>
      <c r="EZ15" s="44"/>
      <c r="FA15" s="44"/>
      <c r="FB15" s="44"/>
      <c r="FC15" s="44"/>
      <c r="FD15" s="44"/>
      <c r="FE15" s="44"/>
      <c r="FF15" s="46"/>
    </row>
    <row r="16" spans="1:162" ht="15" customHeight="1" x14ac:dyDescent="0.3">
      <c r="A16" s="27"/>
      <c r="B16" s="26"/>
      <c r="C16" s="43" t="s">
        <v>23</v>
      </c>
      <c r="D16" s="54"/>
      <c r="E16" s="66" t="s">
        <v>63</v>
      </c>
      <c r="F16" s="59">
        <v>100</v>
      </c>
      <c r="G16" s="60">
        <v>100</v>
      </c>
      <c r="H16" s="60">
        <v>100</v>
      </c>
      <c r="I16" s="60">
        <v>100</v>
      </c>
      <c r="J16" s="60">
        <v>100</v>
      </c>
      <c r="K16" s="60">
        <v>100</v>
      </c>
      <c r="L16" s="60">
        <v>100</v>
      </c>
      <c r="M16" s="60">
        <v>100</v>
      </c>
      <c r="N16" s="60">
        <v>100</v>
      </c>
      <c r="O16" s="60">
        <v>100</v>
      </c>
      <c r="P16" s="60">
        <v>100</v>
      </c>
      <c r="Q16" s="60">
        <v>100</v>
      </c>
      <c r="R16" s="60">
        <v>100</v>
      </c>
      <c r="S16" s="60">
        <v>100</v>
      </c>
      <c r="T16" s="60">
        <v>100</v>
      </c>
      <c r="U16" s="60">
        <v>100</v>
      </c>
      <c r="V16" s="60">
        <v>100</v>
      </c>
      <c r="W16" s="60">
        <v>100</v>
      </c>
      <c r="X16" s="60">
        <v>100</v>
      </c>
      <c r="Y16" s="60">
        <v>100</v>
      </c>
      <c r="Z16" s="60">
        <v>100</v>
      </c>
      <c r="AA16" s="60">
        <v>100</v>
      </c>
      <c r="AB16" s="60">
        <v>100</v>
      </c>
      <c r="AC16" s="60">
        <v>100</v>
      </c>
      <c r="AD16" s="60">
        <v>100</v>
      </c>
      <c r="AE16" s="60">
        <v>100</v>
      </c>
      <c r="AF16" s="60">
        <v>100</v>
      </c>
      <c r="AG16" s="60">
        <v>100</v>
      </c>
      <c r="AH16" s="60">
        <v>100</v>
      </c>
      <c r="AI16" s="60">
        <v>100</v>
      </c>
      <c r="AJ16" s="60">
        <v>100</v>
      </c>
      <c r="AK16" s="60">
        <v>100</v>
      </c>
      <c r="AL16" s="60">
        <v>100</v>
      </c>
      <c r="AM16" s="60">
        <v>100</v>
      </c>
      <c r="AN16" s="60">
        <v>100</v>
      </c>
      <c r="AO16" s="60">
        <v>100</v>
      </c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5"/>
      <c r="CM16"/>
      <c r="CN16"/>
      <c r="CO16"/>
      <c r="CP16"/>
      <c r="CQ16" s="40"/>
      <c r="CR16" s="40"/>
      <c r="CS16" s="40"/>
      <c r="CT16" s="40"/>
      <c r="CU16" s="40"/>
      <c r="CV16" s="40"/>
      <c r="CW16" s="40"/>
      <c r="CX16" s="41"/>
      <c r="CY16" s="40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1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0"/>
      <c r="DV16" s="41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1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1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2"/>
    </row>
    <row r="17" spans="1:162" ht="15" customHeight="1" x14ac:dyDescent="0.3">
      <c r="A17" s="27"/>
      <c r="B17" s="26"/>
      <c r="C17" s="43" t="s">
        <v>24</v>
      </c>
      <c r="D17" s="54"/>
      <c r="E17" s="66" t="s">
        <v>64</v>
      </c>
      <c r="F17" s="59">
        <v>100</v>
      </c>
      <c r="G17" s="60">
        <v>100</v>
      </c>
      <c r="H17" s="60">
        <v>100</v>
      </c>
      <c r="I17" s="60">
        <v>100</v>
      </c>
      <c r="J17" s="60">
        <v>100</v>
      </c>
      <c r="K17" s="60">
        <v>100</v>
      </c>
      <c r="L17" s="60">
        <v>100</v>
      </c>
      <c r="M17" s="60">
        <v>100</v>
      </c>
      <c r="N17" s="60">
        <v>100</v>
      </c>
      <c r="O17" s="60">
        <v>100</v>
      </c>
      <c r="P17" s="60">
        <v>100</v>
      </c>
      <c r="Q17" s="60">
        <v>100</v>
      </c>
      <c r="R17" s="60">
        <v>100</v>
      </c>
      <c r="S17" s="60">
        <v>100</v>
      </c>
      <c r="T17" s="60">
        <v>100</v>
      </c>
      <c r="U17" s="60">
        <v>100</v>
      </c>
      <c r="V17" s="60">
        <v>100</v>
      </c>
      <c r="W17" s="60">
        <v>100</v>
      </c>
      <c r="X17" s="60">
        <v>100</v>
      </c>
      <c r="Y17" s="60">
        <v>100</v>
      </c>
      <c r="Z17" s="60">
        <v>100</v>
      </c>
      <c r="AA17" s="60">
        <v>100</v>
      </c>
      <c r="AB17" s="60">
        <v>100</v>
      </c>
      <c r="AC17" s="60">
        <v>100</v>
      </c>
      <c r="AD17" s="60">
        <v>100</v>
      </c>
      <c r="AE17" s="60">
        <v>100</v>
      </c>
      <c r="AF17" s="60">
        <v>100</v>
      </c>
      <c r="AG17" s="60">
        <v>100</v>
      </c>
      <c r="AH17" s="60">
        <v>100</v>
      </c>
      <c r="AI17" s="60">
        <v>100</v>
      </c>
      <c r="AJ17" s="60">
        <v>100</v>
      </c>
      <c r="AK17" s="60">
        <v>100</v>
      </c>
      <c r="AL17" s="60">
        <v>100</v>
      </c>
      <c r="AM17" s="60">
        <v>100</v>
      </c>
      <c r="AN17" s="60">
        <v>100</v>
      </c>
      <c r="AO17" s="60">
        <v>100</v>
      </c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5"/>
      <c r="CM17"/>
      <c r="CN17"/>
      <c r="CO17"/>
      <c r="CP17"/>
      <c r="CQ17" s="44"/>
      <c r="CR17" s="44"/>
      <c r="CS17" s="44"/>
      <c r="CT17" s="44"/>
      <c r="CU17" s="44"/>
      <c r="CV17" s="44"/>
      <c r="CW17" s="44"/>
      <c r="CX17" s="45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4"/>
      <c r="DJ17" s="45"/>
      <c r="DK17" s="44"/>
      <c r="DL17" s="44"/>
      <c r="DM17" s="44"/>
      <c r="DN17" s="44"/>
      <c r="DO17" s="44"/>
      <c r="DP17" s="44"/>
      <c r="DQ17" s="44"/>
      <c r="DR17" s="44"/>
      <c r="DS17" s="44"/>
      <c r="DT17" s="44"/>
      <c r="DU17" s="44"/>
      <c r="DV17" s="45"/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5"/>
      <c r="EI17" s="44"/>
      <c r="EJ17" s="44"/>
      <c r="EK17" s="44"/>
      <c r="EL17" s="44"/>
      <c r="EM17" s="44"/>
      <c r="EN17" s="44"/>
      <c r="EO17" s="44"/>
      <c r="EP17" s="44"/>
      <c r="EQ17" s="44"/>
      <c r="ER17" s="44"/>
      <c r="ES17" s="44"/>
      <c r="ET17" s="45"/>
      <c r="EU17" s="44"/>
      <c r="EV17" s="44"/>
      <c r="EW17" s="44"/>
      <c r="EX17" s="44"/>
      <c r="EY17" s="44"/>
      <c r="EZ17" s="44"/>
      <c r="FA17" s="44"/>
      <c r="FB17" s="44"/>
      <c r="FC17" s="44"/>
      <c r="FD17" s="44"/>
      <c r="FE17" s="44"/>
      <c r="FF17" s="46"/>
    </row>
    <row r="18" spans="1:162" ht="15" customHeight="1" x14ac:dyDescent="0.3">
      <c r="A18" s="27"/>
      <c r="B18" s="26"/>
      <c r="C18" s="43" t="s">
        <v>25</v>
      </c>
      <c r="D18" s="54"/>
      <c r="E18" s="66" t="s">
        <v>65</v>
      </c>
      <c r="F18" s="59">
        <v>100</v>
      </c>
      <c r="G18" s="60">
        <v>100</v>
      </c>
      <c r="H18" s="60">
        <v>100</v>
      </c>
      <c r="I18" s="60">
        <v>100</v>
      </c>
      <c r="J18" s="60">
        <v>100</v>
      </c>
      <c r="K18" s="60">
        <v>100</v>
      </c>
      <c r="L18" s="60">
        <v>100</v>
      </c>
      <c r="M18" s="60">
        <v>100</v>
      </c>
      <c r="N18" s="60">
        <v>100</v>
      </c>
      <c r="O18" s="60">
        <v>100</v>
      </c>
      <c r="P18" s="60">
        <v>100</v>
      </c>
      <c r="Q18" s="60">
        <v>100</v>
      </c>
      <c r="R18" s="60">
        <v>100</v>
      </c>
      <c r="S18" s="60">
        <v>100</v>
      </c>
      <c r="T18" s="60">
        <v>100</v>
      </c>
      <c r="U18" s="60">
        <v>100</v>
      </c>
      <c r="V18" s="60">
        <v>100</v>
      </c>
      <c r="W18" s="60">
        <v>100</v>
      </c>
      <c r="X18" s="60">
        <v>100</v>
      </c>
      <c r="Y18" s="60">
        <v>100</v>
      </c>
      <c r="Z18" s="60">
        <v>100</v>
      </c>
      <c r="AA18" s="60">
        <v>100</v>
      </c>
      <c r="AB18" s="60">
        <v>100</v>
      </c>
      <c r="AC18" s="60">
        <v>100</v>
      </c>
      <c r="AD18" s="60">
        <v>100</v>
      </c>
      <c r="AE18" s="60">
        <v>100</v>
      </c>
      <c r="AF18" s="60">
        <v>100</v>
      </c>
      <c r="AG18" s="60">
        <v>100</v>
      </c>
      <c r="AH18" s="60">
        <v>100</v>
      </c>
      <c r="AI18" s="60">
        <v>100</v>
      </c>
      <c r="AJ18" s="60">
        <v>100</v>
      </c>
      <c r="AK18" s="60">
        <v>100</v>
      </c>
      <c r="AL18" s="60">
        <v>100</v>
      </c>
      <c r="AM18" s="60">
        <v>100</v>
      </c>
      <c r="AN18" s="60">
        <v>100</v>
      </c>
      <c r="AO18" s="60">
        <v>100</v>
      </c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5"/>
      <c r="CM18"/>
      <c r="CN18"/>
      <c r="CO18"/>
      <c r="CP18"/>
      <c r="CQ18" s="47"/>
      <c r="CR18" s="47"/>
      <c r="CS18" s="47"/>
      <c r="CT18" s="47"/>
      <c r="CU18" s="47"/>
      <c r="CV18" s="47"/>
      <c r="CW18" s="47"/>
      <c r="CX18" s="48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8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8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8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47"/>
      <c r="ET18" s="48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9"/>
    </row>
    <row r="19" spans="1:162" ht="15" customHeight="1" x14ac:dyDescent="0.3">
      <c r="A19" s="27"/>
      <c r="B19" s="26"/>
      <c r="C19" s="43" t="s">
        <v>26</v>
      </c>
      <c r="D19" s="54"/>
      <c r="E19" s="66" t="s">
        <v>66</v>
      </c>
      <c r="F19" s="59">
        <v>100</v>
      </c>
      <c r="G19" s="60">
        <v>100</v>
      </c>
      <c r="H19" s="60">
        <v>100</v>
      </c>
      <c r="I19" s="60">
        <v>100</v>
      </c>
      <c r="J19" s="60">
        <v>100</v>
      </c>
      <c r="K19" s="60">
        <v>100</v>
      </c>
      <c r="L19" s="60">
        <v>100</v>
      </c>
      <c r="M19" s="60">
        <v>100</v>
      </c>
      <c r="N19" s="60">
        <v>100</v>
      </c>
      <c r="O19" s="60">
        <v>100</v>
      </c>
      <c r="P19" s="60">
        <v>100</v>
      </c>
      <c r="Q19" s="60">
        <v>100</v>
      </c>
      <c r="R19" s="60">
        <v>100</v>
      </c>
      <c r="S19" s="60">
        <v>100</v>
      </c>
      <c r="T19" s="60">
        <v>100</v>
      </c>
      <c r="U19" s="60">
        <v>100</v>
      </c>
      <c r="V19" s="60">
        <v>100</v>
      </c>
      <c r="W19" s="60">
        <v>100</v>
      </c>
      <c r="X19" s="60">
        <v>100</v>
      </c>
      <c r="Y19" s="60">
        <v>100</v>
      </c>
      <c r="Z19" s="60">
        <v>100</v>
      </c>
      <c r="AA19" s="60">
        <v>100</v>
      </c>
      <c r="AB19" s="60">
        <v>100</v>
      </c>
      <c r="AC19" s="60">
        <v>100</v>
      </c>
      <c r="AD19" s="60">
        <v>100</v>
      </c>
      <c r="AE19" s="60">
        <v>100</v>
      </c>
      <c r="AF19" s="60">
        <v>100</v>
      </c>
      <c r="AG19" s="60">
        <v>100</v>
      </c>
      <c r="AH19" s="60">
        <v>100</v>
      </c>
      <c r="AI19" s="60">
        <v>100</v>
      </c>
      <c r="AJ19" s="60">
        <v>100</v>
      </c>
      <c r="AK19" s="60">
        <v>100</v>
      </c>
      <c r="AL19" s="60">
        <v>100</v>
      </c>
      <c r="AM19" s="60">
        <v>100</v>
      </c>
      <c r="AN19" s="60">
        <v>100</v>
      </c>
      <c r="AO19" s="60">
        <v>100</v>
      </c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5"/>
      <c r="CM19"/>
      <c r="CN19"/>
      <c r="CO19"/>
      <c r="CP19"/>
      <c r="CQ19" s="40"/>
      <c r="CR19" s="40"/>
      <c r="CS19" s="40"/>
      <c r="CT19" s="40"/>
      <c r="CU19" s="40"/>
      <c r="CV19" s="40"/>
      <c r="CW19" s="40"/>
      <c r="CX19" s="41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1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1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1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1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2"/>
    </row>
    <row r="20" spans="1:162" ht="15" customHeight="1" x14ac:dyDescent="0.3">
      <c r="A20" s="27"/>
      <c r="B20" s="26"/>
      <c r="C20" s="43" t="s">
        <v>27</v>
      </c>
      <c r="D20" s="54"/>
      <c r="E20" s="66" t="s">
        <v>67</v>
      </c>
      <c r="F20" s="59">
        <v>100</v>
      </c>
      <c r="G20" s="60">
        <v>100</v>
      </c>
      <c r="H20" s="60">
        <v>100</v>
      </c>
      <c r="I20" s="60">
        <v>100</v>
      </c>
      <c r="J20" s="60">
        <v>100</v>
      </c>
      <c r="K20" s="60">
        <v>100</v>
      </c>
      <c r="L20" s="60">
        <v>100</v>
      </c>
      <c r="M20" s="60">
        <v>100</v>
      </c>
      <c r="N20" s="60">
        <v>100</v>
      </c>
      <c r="O20" s="60">
        <v>100</v>
      </c>
      <c r="P20" s="60">
        <v>100</v>
      </c>
      <c r="Q20" s="60">
        <v>100</v>
      </c>
      <c r="R20" s="60">
        <v>100</v>
      </c>
      <c r="S20" s="60">
        <v>100</v>
      </c>
      <c r="T20" s="60">
        <v>100</v>
      </c>
      <c r="U20" s="60">
        <v>100</v>
      </c>
      <c r="V20" s="60">
        <v>100</v>
      </c>
      <c r="W20" s="60">
        <v>100</v>
      </c>
      <c r="X20" s="60">
        <v>100</v>
      </c>
      <c r="Y20" s="60">
        <v>100</v>
      </c>
      <c r="Z20" s="60">
        <v>100</v>
      </c>
      <c r="AA20" s="60">
        <v>100</v>
      </c>
      <c r="AB20" s="60">
        <v>100</v>
      </c>
      <c r="AC20" s="60">
        <v>100</v>
      </c>
      <c r="AD20" s="60">
        <v>100</v>
      </c>
      <c r="AE20" s="60">
        <v>100</v>
      </c>
      <c r="AF20" s="60">
        <v>100</v>
      </c>
      <c r="AG20" s="60">
        <v>100</v>
      </c>
      <c r="AH20" s="60">
        <v>100</v>
      </c>
      <c r="AI20" s="60">
        <v>100</v>
      </c>
      <c r="AJ20" s="60">
        <v>100</v>
      </c>
      <c r="AK20" s="60">
        <v>100</v>
      </c>
      <c r="AL20" s="60">
        <v>100</v>
      </c>
      <c r="AM20" s="60">
        <v>100</v>
      </c>
      <c r="AN20" s="60">
        <v>100</v>
      </c>
      <c r="AO20" s="60">
        <v>100</v>
      </c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5"/>
      <c r="CM20"/>
      <c r="CN20"/>
      <c r="CO20"/>
      <c r="CP20"/>
      <c r="CQ20" s="44"/>
      <c r="CR20" s="44"/>
      <c r="CS20" s="44"/>
      <c r="CT20" s="44"/>
      <c r="CU20" s="44"/>
      <c r="CV20" s="44"/>
      <c r="CW20" s="44"/>
      <c r="CX20" s="45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5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5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5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5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6"/>
    </row>
    <row r="21" spans="1:162" ht="15" customHeight="1" x14ac:dyDescent="0.3">
      <c r="A21" s="27"/>
      <c r="B21" s="26"/>
      <c r="C21" s="43" t="s">
        <v>28</v>
      </c>
      <c r="D21" s="54"/>
      <c r="E21" s="66" t="s">
        <v>68</v>
      </c>
      <c r="F21" s="59">
        <v>100</v>
      </c>
      <c r="G21" s="60">
        <v>100</v>
      </c>
      <c r="H21" s="60">
        <v>100</v>
      </c>
      <c r="I21" s="60">
        <v>100</v>
      </c>
      <c r="J21" s="60">
        <v>100</v>
      </c>
      <c r="K21" s="60">
        <v>100</v>
      </c>
      <c r="L21" s="60">
        <v>100</v>
      </c>
      <c r="M21" s="60">
        <v>100</v>
      </c>
      <c r="N21" s="60">
        <v>100</v>
      </c>
      <c r="O21" s="60">
        <v>100</v>
      </c>
      <c r="P21" s="60">
        <v>100</v>
      </c>
      <c r="Q21" s="60">
        <v>100</v>
      </c>
      <c r="R21" s="60">
        <v>100</v>
      </c>
      <c r="S21" s="60">
        <v>100</v>
      </c>
      <c r="T21" s="60">
        <v>100</v>
      </c>
      <c r="U21" s="60">
        <v>100</v>
      </c>
      <c r="V21" s="60">
        <v>100</v>
      </c>
      <c r="W21" s="60">
        <v>100</v>
      </c>
      <c r="X21" s="60">
        <v>100</v>
      </c>
      <c r="Y21" s="60">
        <v>100</v>
      </c>
      <c r="Z21" s="60">
        <v>100</v>
      </c>
      <c r="AA21" s="60">
        <v>100</v>
      </c>
      <c r="AB21" s="60">
        <v>100</v>
      </c>
      <c r="AC21" s="60">
        <v>100</v>
      </c>
      <c r="AD21" s="60">
        <v>100</v>
      </c>
      <c r="AE21" s="60">
        <v>100</v>
      </c>
      <c r="AF21" s="60">
        <v>100</v>
      </c>
      <c r="AG21" s="60">
        <v>100</v>
      </c>
      <c r="AH21" s="60">
        <v>100</v>
      </c>
      <c r="AI21" s="60">
        <v>100</v>
      </c>
      <c r="AJ21" s="60">
        <v>100</v>
      </c>
      <c r="AK21" s="60">
        <v>100</v>
      </c>
      <c r="AL21" s="60">
        <v>100</v>
      </c>
      <c r="AM21" s="60">
        <v>100</v>
      </c>
      <c r="AN21" s="60">
        <v>100</v>
      </c>
      <c r="AO21" s="60">
        <v>100</v>
      </c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5"/>
      <c r="CM21"/>
      <c r="CN21"/>
      <c r="CO21"/>
      <c r="CP21"/>
      <c r="CQ21" s="47"/>
      <c r="CR21" s="47"/>
      <c r="CS21" s="47"/>
      <c r="CT21" s="47"/>
      <c r="CU21" s="47"/>
      <c r="CV21" s="47"/>
      <c r="CW21" s="47"/>
      <c r="CX21" s="48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8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8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8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8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9"/>
    </row>
    <row r="22" spans="1:162" s="36" customFormat="1" ht="15" customHeight="1" x14ac:dyDescent="0.3">
      <c r="A22" s="34"/>
      <c r="B22" s="35"/>
      <c r="C22" s="43" t="s">
        <v>29</v>
      </c>
      <c r="D22" s="54"/>
      <c r="E22" s="66" t="s">
        <v>69</v>
      </c>
      <c r="F22" s="59">
        <v>15864642.828275012</v>
      </c>
      <c r="G22" s="60">
        <v>11331887.734482147</v>
      </c>
      <c r="H22" s="60">
        <v>12121</v>
      </c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5"/>
      <c r="CM22"/>
      <c r="CN22"/>
      <c r="CO22"/>
      <c r="CP22"/>
      <c r="CQ22" s="40"/>
      <c r="CR22" s="40"/>
      <c r="CS22" s="40"/>
      <c r="CT22" s="40"/>
      <c r="CU22" s="40"/>
      <c r="CV22" s="40"/>
      <c r="CW22" s="40"/>
      <c r="CX22" s="41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1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1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1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1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2"/>
    </row>
    <row r="23" spans="1:162" s="36" customFormat="1" ht="15.75" customHeight="1" x14ac:dyDescent="0.3">
      <c r="A23" s="34"/>
      <c r="B23" s="35"/>
      <c r="C23" s="43" t="s">
        <v>30</v>
      </c>
      <c r="D23" s="54"/>
      <c r="E23" s="66" t="s">
        <v>70</v>
      </c>
      <c r="F23" s="59">
        <v>531994.06540000008</v>
      </c>
      <c r="G23" s="60">
        <v>379995.76099999988</v>
      </c>
      <c r="H23" s="60">
        <v>0</v>
      </c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5"/>
      <c r="CM23"/>
      <c r="CN23"/>
      <c r="CO23"/>
      <c r="CP23"/>
      <c r="CQ23" s="44"/>
      <c r="CR23" s="44"/>
      <c r="CS23" s="44"/>
      <c r="CT23" s="44"/>
      <c r="CU23" s="44"/>
      <c r="CV23" s="44"/>
      <c r="CW23" s="44"/>
      <c r="CX23" s="45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4"/>
      <c r="DJ23" s="45"/>
      <c r="DK23" s="44"/>
      <c r="DL23" s="44"/>
      <c r="DM23" s="44"/>
      <c r="DN23" s="44"/>
      <c r="DO23" s="44"/>
      <c r="DP23" s="44"/>
      <c r="DQ23" s="44"/>
      <c r="DR23" s="44"/>
      <c r="DS23" s="44"/>
      <c r="DT23" s="44"/>
      <c r="DU23" s="44"/>
      <c r="DV23" s="45"/>
      <c r="DW23" s="44"/>
      <c r="DX23" s="44"/>
      <c r="DY23" s="44"/>
      <c r="DZ23" s="44"/>
      <c r="EA23" s="44"/>
      <c r="EB23" s="44"/>
      <c r="EC23" s="44"/>
      <c r="ED23" s="44"/>
      <c r="EE23" s="44"/>
      <c r="EF23" s="44"/>
      <c r="EG23" s="44"/>
      <c r="EH23" s="45"/>
      <c r="EI23" s="44"/>
      <c r="EJ23" s="44"/>
      <c r="EK23" s="44"/>
      <c r="EL23" s="44"/>
      <c r="EM23" s="44"/>
      <c r="EN23" s="44"/>
      <c r="EO23" s="44"/>
      <c r="EP23" s="44"/>
      <c r="EQ23" s="44"/>
      <c r="ER23" s="44"/>
      <c r="ES23" s="44"/>
      <c r="ET23" s="45"/>
      <c r="EU23" s="44"/>
      <c r="EV23" s="44"/>
      <c r="EW23" s="44"/>
      <c r="EX23" s="44"/>
      <c r="EY23" s="44"/>
      <c r="EZ23" s="44"/>
      <c r="FA23" s="44"/>
      <c r="FB23" s="44"/>
      <c r="FC23" s="44"/>
      <c r="FD23" s="44"/>
      <c r="FE23" s="44"/>
      <c r="FF23" s="46"/>
    </row>
    <row r="24" spans="1:162" s="36" customFormat="1" ht="15.75" customHeight="1" x14ac:dyDescent="0.3">
      <c r="A24" s="34"/>
      <c r="B24" s="35"/>
      <c r="C24" s="43" t="s">
        <v>31</v>
      </c>
      <c r="D24" s="54"/>
      <c r="E24" s="66" t="s">
        <v>71</v>
      </c>
      <c r="F24" s="59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5"/>
      <c r="CM24"/>
      <c r="CN24"/>
      <c r="CO24"/>
      <c r="CP24"/>
      <c r="CQ24" s="47"/>
      <c r="CR24" s="47"/>
      <c r="CS24" s="47"/>
      <c r="CT24" s="47"/>
      <c r="CU24" s="47"/>
      <c r="CV24" s="47"/>
      <c r="CW24" s="47"/>
      <c r="CX24" s="48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8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8"/>
      <c r="DW24" s="47"/>
      <c r="DX24" s="47"/>
      <c r="DY24" s="47"/>
      <c r="DZ24" s="47"/>
      <c r="EA24" s="47"/>
      <c r="EB24" s="47"/>
      <c r="EC24" s="47"/>
      <c r="ED24" s="47"/>
      <c r="EE24" s="47"/>
      <c r="EF24" s="47"/>
      <c r="EG24" s="47"/>
      <c r="EH24" s="48"/>
      <c r="EI24" s="47"/>
      <c r="EJ24" s="47"/>
      <c r="EK24" s="47"/>
      <c r="EL24" s="47"/>
      <c r="EM24" s="47"/>
      <c r="EN24" s="47"/>
      <c r="EO24" s="47"/>
      <c r="EP24" s="47"/>
      <c r="EQ24" s="47"/>
      <c r="ER24" s="47"/>
      <c r="ES24" s="47"/>
      <c r="ET24" s="48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  <c r="FF24" s="49"/>
    </row>
    <row r="25" spans="1:162" ht="15" customHeight="1" x14ac:dyDescent="0.3">
      <c r="A25" s="27"/>
      <c r="B25" s="26"/>
      <c r="C25" s="43" t="s">
        <v>32</v>
      </c>
      <c r="D25" s="54"/>
      <c r="E25" s="66" t="s">
        <v>72</v>
      </c>
      <c r="F25" s="59">
        <v>6503907.1598092681</v>
      </c>
      <c r="G25" s="60">
        <v>6503907.1598092681</v>
      </c>
      <c r="H25" s="60">
        <v>6503907.1598092681</v>
      </c>
      <c r="I25" s="60">
        <v>6503907.1598092681</v>
      </c>
      <c r="J25" s="60">
        <v>6503907.1598092681</v>
      </c>
      <c r="K25" s="60">
        <v>2167969.0532697565</v>
      </c>
      <c r="L25" s="60">
        <v>0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5"/>
      <c r="CM25"/>
      <c r="CN25"/>
      <c r="CO25"/>
      <c r="CP25"/>
      <c r="CQ25" s="40"/>
      <c r="CR25" s="40"/>
      <c r="CS25" s="40"/>
      <c r="CT25" s="40"/>
      <c r="CU25" s="40"/>
      <c r="CV25" s="40"/>
      <c r="CW25" s="40"/>
      <c r="CX25" s="41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1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1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1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1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2"/>
    </row>
    <row r="26" spans="1:162" ht="15" customHeight="1" x14ac:dyDescent="0.3">
      <c r="A26" s="27"/>
      <c r="B26" s="26"/>
      <c r="C26" s="43" t="s">
        <v>33</v>
      </c>
      <c r="D26" s="54"/>
      <c r="E26" s="66" t="s">
        <v>73</v>
      </c>
      <c r="F26" s="59">
        <v>1416251.743674</v>
      </c>
      <c r="G26" s="60">
        <v>1416251.743674</v>
      </c>
      <c r="H26" s="60">
        <v>1416251.743674</v>
      </c>
      <c r="I26" s="60">
        <v>1416251.743674</v>
      </c>
      <c r="J26" s="60">
        <v>1416251.743674</v>
      </c>
      <c r="K26" s="60">
        <v>472083.91455800005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5"/>
      <c r="CM26"/>
      <c r="CN26"/>
      <c r="CO26"/>
      <c r="CP26"/>
      <c r="CQ26" s="44"/>
      <c r="CR26" s="44"/>
      <c r="CS26" s="44"/>
      <c r="CT26" s="44"/>
      <c r="CU26" s="44"/>
      <c r="CV26" s="44"/>
      <c r="CW26" s="44"/>
      <c r="CX26" s="45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5"/>
      <c r="DK26" s="44"/>
      <c r="DL26" s="44"/>
      <c r="DM26" s="44"/>
      <c r="DN26" s="44"/>
      <c r="DO26" s="44"/>
      <c r="DP26" s="44"/>
      <c r="DQ26" s="44"/>
      <c r="DR26" s="44"/>
      <c r="DS26" s="44"/>
      <c r="DT26" s="44"/>
      <c r="DU26" s="44"/>
      <c r="DV26" s="45"/>
      <c r="DW26" s="44"/>
      <c r="DX26" s="44"/>
      <c r="DY26" s="44"/>
      <c r="DZ26" s="44"/>
      <c r="EA26" s="44"/>
      <c r="EB26" s="44"/>
      <c r="EC26" s="44"/>
      <c r="ED26" s="44"/>
      <c r="EE26" s="44"/>
      <c r="EF26" s="44"/>
      <c r="EG26" s="44"/>
      <c r="EH26" s="45"/>
      <c r="EI26" s="44"/>
      <c r="EJ26" s="44"/>
      <c r="EK26" s="44"/>
      <c r="EL26" s="44"/>
      <c r="EM26" s="44"/>
      <c r="EN26" s="44"/>
      <c r="EO26" s="44"/>
      <c r="EP26" s="44"/>
      <c r="EQ26" s="44"/>
      <c r="ER26" s="44"/>
      <c r="ES26" s="44"/>
      <c r="ET26" s="45"/>
      <c r="EU26" s="44"/>
      <c r="EV26" s="44"/>
      <c r="EW26" s="44"/>
      <c r="EX26" s="44"/>
      <c r="EY26" s="44"/>
      <c r="EZ26" s="44"/>
      <c r="FA26" s="44"/>
      <c r="FB26" s="44"/>
      <c r="FC26" s="44"/>
      <c r="FD26" s="44"/>
      <c r="FE26" s="44"/>
      <c r="FF26" s="46"/>
    </row>
    <row r="27" spans="1:162" ht="15" customHeight="1" x14ac:dyDescent="0.3">
      <c r="A27" s="27"/>
      <c r="B27" s="26"/>
      <c r="C27" s="43" t="s">
        <v>34</v>
      </c>
      <c r="D27" s="54"/>
      <c r="E27" s="66" t="s">
        <v>74</v>
      </c>
      <c r="F27" s="59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5"/>
      <c r="CM27"/>
      <c r="CN27"/>
      <c r="CO27"/>
      <c r="CP27"/>
      <c r="CQ27" s="44"/>
      <c r="CR27" s="44"/>
      <c r="CS27" s="44"/>
      <c r="CT27" s="44"/>
      <c r="CU27" s="44"/>
      <c r="CV27" s="44"/>
      <c r="CW27" s="44"/>
      <c r="CX27" s="45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4"/>
      <c r="DJ27" s="45"/>
      <c r="DK27" s="44"/>
      <c r="DL27" s="44"/>
      <c r="DM27" s="44"/>
      <c r="DN27" s="44"/>
      <c r="DO27" s="44"/>
      <c r="DP27" s="44"/>
      <c r="DQ27" s="44"/>
      <c r="DR27" s="44"/>
      <c r="DS27" s="44"/>
      <c r="DT27" s="44"/>
      <c r="DU27" s="44"/>
      <c r="DV27" s="45"/>
      <c r="DW27" s="44"/>
      <c r="DX27" s="44"/>
      <c r="DY27" s="44"/>
      <c r="DZ27" s="44"/>
      <c r="EA27" s="44"/>
      <c r="EB27" s="44"/>
      <c r="EC27" s="44"/>
      <c r="ED27" s="44"/>
      <c r="EE27" s="44"/>
      <c r="EF27" s="44"/>
      <c r="EG27" s="44"/>
      <c r="EH27" s="45"/>
      <c r="EI27" s="44"/>
      <c r="EJ27" s="44"/>
      <c r="EK27" s="44"/>
      <c r="EL27" s="44"/>
      <c r="EM27" s="44"/>
      <c r="EN27" s="44"/>
      <c r="EO27" s="44"/>
      <c r="EP27" s="44"/>
      <c r="EQ27" s="44"/>
      <c r="ER27" s="44"/>
      <c r="ES27" s="44"/>
      <c r="ET27" s="45"/>
      <c r="EU27" s="44"/>
      <c r="EV27" s="44"/>
      <c r="EW27" s="44"/>
      <c r="EX27" s="44"/>
      <c r="EY27" s="44"/>
      <c r="EZ27" s="44"/>
      <c r="FA27" s="44"/>
      <c r="FB27" s="44"/>
      <c r="FC27" s="44"/>
      <c r="FD27" s="44"/>
      <c r="FE27" s="44"/>
      <c r="FF27" s="46"/>
    </row>
    <row r="28" spans="1:162" ht="15" customHeight="1" x14ac:dyDescent="0.3">
      <c r="A28" s="27"/>
      <c r="B28" s="26"/>
      <c r="C28" s="43" t="s">
        <v>35</v>
      </c>
      <c r="D28" s="54"/>
      <c r="E28" s="66" t="s">
        <v>75</v>
      </c>
      <c r="F28" s="59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5"/>
      <c r="CM28"/>
      <c r="CN28"/>
      <c r="CO28"/>
      <c r="CP28"/>
      <c r="CQ28" s="47"/>
      <c r="CR28" s="47"/>
      <c r="CS28" s="47"/>
      <c r="CT28" s="47"/>
      <c r="CU28" s="47"/>
      <c r="CV28" s="47"/>
      <c r="CW28" s="47"/>
      <c r="CX28" s="48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8"/>
      <c r="DK28" s="47"/>
      <c r="DL28" s="47"/>
      <c r="DM28" s="47"/>
      <c r="DN28" s="47"/>
      <c r="DO28" s="47"/>
      <c r="DP28" s="47"/>
      <c r="DQ28" s="47"/>
      <c r="DR28" s="47"/>
      <c r="DS28" s="47"/>
      <c r="DT28" s="47"/>
      <c r="DU28" s="47"/>
      <c r="DV28" s="48"/>
      <c r="DW28" s="47"/>
      <c r="DX28" s="47"/>
      <c r="DY28" s="47"/>
      <c r="DZ28" s="47"/>
      <c r="EA28" s="47"/>
      <c r="EB28" s="47"/>
      <c r="EC28" s="47"/>
      <c r="ED28" s="47"/>
      <c r="EE28" s="47"/>
      <c r="EF28" s="47"/>
      <c r="EG28" s="47"/>
      <c r="EH28" s="48"/>
      <c r="EI28" s="47"/>
      <c r="EJ28" s="47"/>
      <c r="EK28" s="47"/>
      <c r="EL28" s="47"/>
      <c r="EM28" s="47"/>
      <c r="EN28" s="47"/>
      <c r="EO28" s="47"/>
      <c r="EP28" s="47"/>
      <c r="EQ28" s="47"/>
      <c r="ER28" s="47"/>
      <c r="ES28" s="47"/>
      <c r="ET28" s="48"/>
      <c r="EU28" s="47"/>
      <c r="EV28" s="47"/>
      <c r="EW28" s="47"/>
      <c r="EX28" s="47"/>
      <c r="EY28" s="47"/>
      <c r="EZ28" s="47"/>
      <c r="FA28" s="47"/>
      <c r="FB28" s="47"/>
      <c r="FC28" s="47"/>
      <c r="FD28" s="47"/>
      <c r="FE28" s="47"/>
      <c r="FF28" s="49"/>
    </row>
    <row r="29" spans="1:162" ht="15" customHeight="1" x14ac:dyDescent="0.3">
      <c r="A29" s="27"/>
      <c r="B29" s="26"/>
      <c r="C29" s="43" t="s">
        <v>36</v>
      </c>
      <c r="D29" s="54"/>
      <c r="E29" s="66" t="s">
        <v>76</v>
      </c>
      <c r="F29" s="59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>
        <v>0</v>
      </c>
      <c r="V29" s="60">
        <v>7893967.5290872864</v>
      </c>
      <c r="W29" s="60">
        <v>13814443.175902752</v>
      </c>
      <c r="X29" s="60">
        <v>17761426.940446392</v>
      </c>
      <c r="Y29" s="60">
        <v>17761426.940446392</v>
      </c>
      <c r="Z29" s="60">
        <v>17761426.940446392</v>
      </c>
      <c r="AA29" s="60">
        <v>17761426.940446392</v>
      </c>
      <c r="AB29" s="60">
        <v>17761426.940446392</v>
      </c>
      <c r="AC29" s="60">
        <v>17761426.940446392</v>
      </c>
      <c r="AD29" s="60">
        <v>17761426.940446392</v>
      </c>
      <c r="AE29" s="60">
        <v>17761426.940446392</v>
      </c>
      <c r="AF29" s="60">
        <v>17761426.940446392</v>
      </c>
      <c r="AG29" s="60">
        <v>17761426.940446392</v>
      </c>
      <c r="AH29" s="60">
        <v>17761426.940446392</v>
      </c>
      <c r="AI29" s="60">
        <v>17761426.940446392</v>
      </c>
      <c r="AJ29" s="60">
        <v>17761426.940446392</v>
      </c>
      <c r="AK29" s="60">
        <v>17761426.940446392</v>
      </c>
      <c r="AL29" s="60">
        <v>17761426.940446392</v>
      </c>
      <c r="AM29" s="60">
        <v>17761426.940446392</v>
      </c>
      <c r="AN29" s="60">
        <v>17761426.940446392</v>
      </c>
      <c r="AO29" s="60">
        <v>17761426.940446392</v>
      </c>
      <c r="AP29" s="44">
        <v>17761426.940446392</v>
      </c>
      <c r="AQ29" s="44">
        <v>17761426.940446392</v>
      </c>
      <c r="AR29" s="44">
        <v>17761426.940446392</v>
      </c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5"/>
      <c r="CM29"/>
      <c r="CN29"/>
      <c r="CO29"/>
      <c r="CP29"/>
      <c r="CQ29" s="40"/>
      <c r="CR29" s="40"/>
      <c r="CS29" s="40"/>
      <c r="CT29" s="40"/>
      <c r="CU29" s="40"/>
      <c r="CV29" s="40"/>
      <c r="CW29" s="40"/>
      <c r="CX29" s="41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1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1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1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1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2"/>
    </row>
    <row r="30" spans="1:162" ht="15" customHeight="1" x14ac:dyDescent="0.3">
      <c r="A30" s="27"/>
      <c r="B30" s="26"/>
      <c r="C30" s="43" t="s">
        <v>37</v>
      </c>
      <c r="D30" s="54"/>
      <c r="E30" s="66" t="s">
        <v>77</v>
      </c>
      <c r="F30" s="59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>
        <v>0</v>
      </c>
      <c r="V30" s="60">
        <v>0</v>
      </c>
      <c r="W30" s="60">
        <v>0</v>
      </c>
      <c r="X30" s="60">
        <v>0</v>
      </c>
      <c r="Y30" s="60">
        <v>0</v>
      </c>
      <c r="Z30" s="60">
        <v>0</v>
      </c>
      <c r="AA30" s="60">
        <v>0</v>
      </c>
      <c r="AB30" s="60">
        <v>0</v>
      </c>
      <c r="AC30" s="60">
        <v>0</v>
      </c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5"/>
      <c r="CM30"/>
      <c r="CN30"/>
      <c r="CO30"/>
      <c r="CP30"/>
      <c r="CQ30" s="44"/>
      <c r="CR30" s="44"/>
      <c r="CS30" s="44"/>
      <c r="CT30" s="44"/>
      <c r="CU30" s="44"/>
      <c r="CV30" s="44"/>
      <c r="CW30" s="44"/>
      <c r="CX30" s="45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5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5"/>
      <c r="DW30" s="44"/>
      <c r="DX30" s="44"/>
      <c r="DY30" s="44"/>
      <c r="DZ30" s="44"/>
      <c r="EA30" s="44"/>
      <c r="EB30" s="44"/>
      <c r="EC30" s="44"/>
      <c r="ED30" s="44"/>
      <c r="EE30" s="44"/>
      <c r="EF30" s="44"/>
      <c r="EG30" s="44"/>
      <c r="EH30" s="45"/>
      <c r="EI30" s="44"/>
      <c r="EJ30" s="44"/>
      <c r="EK30" s="44"/>
      <c r="EL30" s="44"/>
      <c r="EM30" s="44"/>
      <c r="EN30" s="44"/>
      <c r="EO30" s="44"/>
      <c r="EP30" s="44"/>
      <c r="EQ30" s="44"/>
      <c r="ER30" s="44"/>
      <c r="ES30" s="44"/>
      <c r="ET30" s="45"/>
      <c r="EU30" s="44"/>
      <c r="EV30" s="44"/>
      <c r="EW30" s="44"/>
      <c r="EX30" s="44"/>
      <c r="EY30" s="44"/>
      <c r="EZ30" s="44"/>
      <c r="FA30" s="44"/>
      <c r="FB30" s="44"/>
      <c r="FC30" s="44"/>
      <c r="FD30" s="44"/>
      <c r="FE30" s="44"/>
      <c r="FF30" s="46"/>
    </row>
    <row r="31" spans="1:162" ht="15" customHeight="1" x14ac:dyDescent="0.3">
      <c r="A31" s="27"/>
      <c r="B31" s="26"/>
      <c r="C31" s="43" t="s">
        <v>38</v>
      </c>
      <c r="D31" s="54"/>
      <c r="E31" s="66" t="s">
        <v>78</v>
      </c>
      <c r="F31" s="59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5"/>
      <c r="CM31"/>
      <c r="CN31"/>
      <c r="CO31"/>
      <c r="CP31"/>
      <c r="CQ31" s="47"/>
      <c r="CR31" s="47"/>
      <c r="CS31" s="47"/>
      <c r="CT31" s="47"/>
      <c r="CU31" s="47"/>
      <c r="CV31" s="47"/>
      <c r="CW31" s="47"/>
      <c r="CX31" s="48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8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8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7"/>
      <c r="EH31" s="48"/>
      <c r="EI31" s="47"/>
      <c r="EJ31" s="47"/>
      <c r="EK31" s="47"/>
      <c r="EL31" s="47"/>
      <c r="EM31" s="47"/>
      <c r="EN31" s="47"/>
      <c r="EO31" s="47"/>
      <c r="EP31" s="47"/>
      <c r="EQ31" s="47"/>
      <c r="ER31" s="47"/>
      <c r="ES31" s="47"/>
      <c r="ET31" s="48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  <c r="FF31" s="49"/>
    </row>
    <row r="32" spans="1:162" ht="15" customHeight="1" x14ac:dyDescent="0.3">
      <c r="A32" s="27"/>
      <c r="B32" s="26"/>
      <c r="C32" s="43" t="s">
        <v>39</v>
      </c>
      <c r="D32" s="54"/>
      <c r="E32" s="66" t="s">
        <v>79</v>
      </c>
      <c r="F32" s="59">
        <v>1927970</v>
      </c>
      <c r="G32" s="60">
        <v>1927970</v>
      </c>
      <c r="H32" s="60">
        <v>3855940</v>
      </c>
      <c r="I32" s="60">
        <v>3855940</v>
      </c>
      <c r="J32" s="60">
        <v>3855940</v>
      </c>
      <c r="K32" s="60">
        <v>3855940</v>
      </c>
      <c r="L32" s="60">
        <v>3855940</v>
      </c>
      <c r="M32" s="60">
        <v>3855940</v>
      </c>
      <c r="N32" s="60">
        <v>3855940</v>
      </c>
      <c r="O32" s="60">
        <v>3855940</v>
      </c>
      <c r="P32" s="60">
        <v>1927970</v>
      </c>
      <c r="Q32" s="60">
        <v>1927970</v>
      </c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5"/>
      <c r="CM32"/>
      <c r="CN32"/>
      <c r="CO32"/>
      <c r="CP32"/>
      <c r="CQ32" s="40"/>
      <c r="CR32" s="40"/>
      <c r="CS32" s="40"/>
      <c r="CT32" s="40"/>
      <c r="CU32" s="40"/>
      <c r="CV32" s="40"/>
      <c r="CW32" s="40"/>
      <c r="CX32" s="41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1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1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1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1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2"/>
    </row>
    <row r="33" spans="1:162" ht="15" customHeight="1" x14ac:dyDescent="0.3">
      <c r="A33" s="27"/>
      <c r="B33" s="26"/>
      <c r="C33" s="43" t="s">
        <v>40</v>
      </c>
      <c r="D33" s="54"/>
      <c r="E33" s="66" t="s">
        <v>80</v>
      </c>
      <c r="F33" s="59">
        <v>0</v>
      </c>
      <c r="G33" s="60">
        <v>0</v>
      </c>
      <c r="H33" s="60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0</v>
      </c>
      <c r="P33" s="60">
        <v>0</v>
      </c>
      <c r="Q33" s="60">
        <v>0</v>
      </c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5"/>
      <c r="CM33"/>
      <c r="CN33"/>
      <c r="CO33"/>
      <c r="CP33"/>
      <c r="CQ33" s="44"/>
      <c r="CR33" s="44"/>
      <c r="CS33" s="44"/>
      <c r="CT33" s="44"/>
      <c r="CU33" s="44"/>
      <c r="CV33" s="44"/>
      <c r="CW33" s="44"/>
      <c r="CX33" s="45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5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5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5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5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6"/>
    </row>
    <row r="34" spans="1:162" ht="15" customHeight="1" x14ac:dyDescent="0.3">
      <c r="A34" s="27"/>
      <c r="B34" s="26"/>
      <c r="C34" s="43" t="s">
        <v>41</v>
      </c>
      <c r="D34" s="54"/>
      <c r="E34" s="66" t="s">
        <v>81</v>
      </c>
      <c r="F34" s="59">
        <v>35000</v>
      </c>
      <c r="G34" s="60">
        <v>35000</v>
      </c>
      <c r="H34" s="60">
        <v>70000</v>
      </c>
      <c r="I34" s="60">
        <v>70000</v>
      </c>
      <c r="J34" s="60">
        <v>70000</v>
      </c>
      <c r="K34" s="60">
        <v>70000</v>
      </c>
      <c r="L34" s="60">
        <v>70000</v>
      </c>
      <c r="M34" s="60">
        <v>70000</v>
      </c>
      <c r="N34" s="60">
        <v>70000</v>
      </c>
      <c r="O34" s="60">
        <v>70000</v>
      </c>
      <c r="P34" s="60">
        <v>35000</v>
      </c>
      <c r="Q34" s="60">
        <v>35000</v>
      </c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5"/>
      <c r="CM34"/>
      <c r="CN34"/>
      <c r="CO34"/>
      <c r="CP34"/>
      <c r="CQ34" s="47"/>
      <c r="CR34" s="47"/>
      <c r="CS34" s="47"/>
      <c r="CT34" s="47"/>
      <c r="CU34" s="47"/>
      <c r="CV34" s="47"/>
      <c r="CW34" s="47"/>
      <c r="CX34" s="48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8"/>
      <c r="DK34" s="47"/>
      <c r="DL34" s="47"/>
      <c r="DM34" s="47"/>
      <c r="DN34" s="47"/>
      <c r="DO34" s="47"/>
      <c r="DP34" s="47"/>
      <c r="DQ34" s="47"/>
      <c r="DR34" s="47"/>
      <c r="DS34" s="47"/>
      <c r="DT34" s="47"/>
      <c r="DU34" s="47"/>
      <c r="DV34" s="48"/>
      <c r="DW34" s="47"/>
      <c r="DX34" s="47"/>
      <c r="DY34" s="47"/>
      <c r="DZ34" s="47"/>
      <c r="EA34" s="47"/>
      <c r="EB34" s="47"/>
      <c r="EC34" s="47"/>
      <c r="ED34" s="47"/>
      <c r="EE34" s="47"/>
      <c r="EF34" s="47"/>
      <c r="EG34" s="47"/>
      <c r="EH34" s="48"/>
      <c r="EI34" s="47"/>
      <c r="EJ34" s="47"/>
      <c r="EK34" s="47"/>
      <c r="EL34" s="47"/>
      <c r="EM34" s="47"/>
      <c r="EN34" s="47"/>
      <c r="EO34" s="47"/>
      <c r="EP34" s="47"/>
      <c r="EQ34" s="47"/>
      <c r="ER34" s="47"/>
      <c r="ES34" s="47"/>
      <c r="ET34" s="48"/>
      <c r="EU34" s="47"/>
      <c r="EV34" s="47"/>
      <c r="EW34" s="47"/>
      <c r="EX34" s="47"/>
      <c r="EY34" s="47"/>
      <c r="EZ34" s="47"/>
      <c r="FA34" s="47"/>
      <c r="FB34" s="47"/>
      <c r="FC34" s="47"/>
      <c r="FD34" s="47"/>
      <c r="FE34" s="47"/>
      <c r="FF34" s="49"/>
    </row>
    <row r="35" spans="1:162" s="36" customFormat="1" ht="15" customHeight="1" x14ac:dyDescent="0.3">
      <c r="A35" s="34"/>
      <c r="B35" s="35"/>
      <c r="C35" s="43" t="s">
        <v>42</v>
      </c>
      <c r="D35" s="54"/>
      <c r="E35" s="66" t="s">
        <v>82</v>
      </c>
      <c r="F35" s="59"/>
      <c r="G35" s="60"/>
      <c r="H35" s="60">
        <v>1600000</v>
      </c>
      <c r="I35" s="60">
        <v>1600000</v>
      </c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5"/>
      <c r="CM35"/>
      <c r="CN35"/>
      <c r="CO35"/>
      <c r="CP35"/>
      <c r="CQ35" s="40"/>
      <c r="CR35" s="40"/>
      <c r="CS35" s="40"/>
      <c r="CT35" s="40"/>
      <c r="CU35" s="40"/>
      <c r="CV35" s="40"/>
      <c r="CW35" s="40"/>
      <c r="CX35" s="41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1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1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1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1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2"/>
    </row>
    <row r="36" spans="1:162" s="36" customFormat="1" ht="15.75" customHeight="1" x14ac:dyDescent="0.3">
      <c r="A36" s="34"/>
      <c r="B36" s="35"/>
      <c r="C36" s="43" t="s">
        <v>43</v>
      </c>
      <c r="D36" s="54"/>
      <c r="E36" s="66" t="s">
        <v>83</v>
      </c>
      <c r="F36" s="59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5"/>
      <c r="CM36"/>
      <c r="CN36"/>
      <c r="CO36"/>
      <c r="CP36"/>
      <c r="CQ36" s="44"/>
      <c r="CR36" s="44"/>
      <c r="CS36" s="44"/>
      <c r="CT36" s="44"/>
      <c r="CU36" s="44"/>
      <c r="CV36" s="44"/>
      <c r="CW36" s="44"/>
      <c r="CX36" s="45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5"/>
      <c r="DK36" s="44"/>
      <c r="DL36" s="44"/>
      <c r="DM36" s="44"/>
      <c r="DN36" s="44"/>
      <c r="DO36" s="44"/>
      <c r="DP36" s="44"/>
      <c r="DQ36" s="44"/>
      <c r="DR36" s="44"/>
      <c r="DS36" s="44"/>
      <c r="DT36" s="44"/>
      <c r="DU36" s="44"/>
      <c r="DV36" s="45"/>
      <c r="DW36" s="44"/>
      <c r="DX36" s="44"/>
      <c r="DY36" s="44"/>
      <c r="DZ36" s="44"/>
      <c r="EA36" s="44"/>
      <c r="EB36" s="44"/>
      <c r="EC36" s="44"/>
      <c r="ED36" s="44"/>
      <c r="EE36" s="44"/>
      <c r="EF36" s="44"/>
      <c r="EG36" s="44"/>
      <c r="EH36" s="45"/>
      <c r="EI36" s="44"/>
      <c r="EJ36" s="44"/>
      <c r="EK36" s="44"/>
      <c r="EL36" s="44"/>
      <c r="EM36" s="44"/>
      <c r="EN36" s="44"/>
      <c r="EO36" s="44"/>
      <c r="EP36" s="44"/>
      <c r="EQ36" s="44"/>
      <c r="ER36" s="44"/>
      <c r="ES36" s="44"/>
      <c r="ET36" s="45"/>
      <c r="EU36" s="44"/>
      <c r="EV36" s="44"/>
      <c r="EW36" s="44"/>
      <c r="EX36" s="44"/>
      <c r="EY36" s="44"/>
      <c r="EZ36" s="44"/>
      <c r="FA36" s="44"/>
      <c r="FB36" s="44"/>
      <c r="FC36" s="44"/>
      <c r="FD36" s="44"/>
      <c r="FE36" s="44"/>
      <c r="FF36" s="46"/>
    </row>
    <row r="37" spans="1:162" s="36" customFormat="1" ht="15.75" customHeight="1" x14ac:dyDescent="0.3">
      <c r="A37" s="34"/>
      <c r="B37" s="35"/>
      <c r="C37" s="43" t="s">
        <v>44</v>
      </c>
      <c r="D37" s="54"/>
      <c r="E37" s="66" t="s">
        <v>84</v>
      </c>
      <c r="F37" s="59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5"/>
      <c r="CM37"/>
      <c r="CN37"/>
      <c r="CO37"/>
      <c r="CP37"/>
      <c r="CQ37" s="47"/>
      <c r="CR37" s="47"/>
      <c r="CS37" s="47"/>
      <c r="CT37" s="47"/>
      <c r="CU37" s="47"/>
      <c r="CV37" s="47"/>
      <c r="CW37" s="47"/>
      <c r="CX37" s="48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8"/>
      <c r="DK37" s="47"/>
      <c r="DL37" s="47"/>
      <c r="DM37" s="47"/>
      <c r="DN37" s="47"/>
      <c r="DO37" s="47"/>
      <c r="DP37" s="47"/>
      <c r="DQ37" s="47"/>
      <c r="DR37" s="47"/>
      <c r="DS37" s="47"/>
      <c r="DT37" s="47"/>
      <c r="DU37" s="47"/>
      <c r="DV37" s="48"/>
      <c r="DW37" s="47"/>
      <c r="DX37" s="47"/>
      <c r="DY37" s="47"/>
      <c r="DZ37" s="47"/>
      <c r="EA37" s="47"/>
      <c r="EB37" s="47"/>
      <c r="EC37" s="47"/>
      <c r="ED37" s="47"/>
      <c r="EE37" s="47"/>
      <c r="EF37" s="47"/>
      <c r="EG37" s="47"/>
      <c r="EH37" s="48"/>
      <c r="EI37" s="47"/>
      <c r="EJ37" s="47"/>
      <c r="EK37" s="47"/>
      <c r="EL37" s="47"/>
      <c r="EM37" s="47"/>
      <c r="EN37" s="47"/>
      <c r="EO37" s="47"/>
      <c r="EP37" s="47"/>
      <c r="EQ37" s="47"/>
      <c r="ER37" s="47"/>
      <c r="ES37" s="47"/>
      <c r="ET37" s="48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  <c r="FF37" s="49"/>
    </row>
    <row r="38" spans="1:162" ht="15" customHeight="1" x14ac:dyDescent="0.3">
      <c r="A38" s="27"/>
      <c r="B38" s="26"/>
      <c r="C38" s="43" t="s">
        <v>45</v>
      </c>
      <c r="D38" s="54"/>
      <c r="E38" s="66" t="s">
        <v>85</v>
      </c>
      <c r="F38" s="59"/>
      <c r="G38" s="60"/>
      <c r="H38" s="60">
        <v>300000</v>
      </c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5"/>
      <c r="CM38"/>
      <c r="CN38"/>
      <c r="CO38"/>
      <c r="CP38"/>
      <c r="CQ38" s="40"/>
      <c r="CR38" s="40"/>
      <c r="CS38" s="40"/>
      <c r="CT38" s="40"/>
      <c r="CU38" s="40"/>
      <c r="CV38" s="40"/>
      <c r="CW38" s="40"/>
      <c r="CX38" s="41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1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1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1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1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2"/>
    </row>
    <row r="39" spans="1:162" ht="15" customHeight="1" x14ac:dyDescent="0.3">
      <c r="A39" s="27"/>
      <c r="B39" s="26"/>
      <c r="C39" s="43" t="s">
        <v>46</v>
      </c>
      <c r="D39" s="54"/>
      <c r="E39" s="66" t="s">
        <v>86</v>
      </c>
      <c r="F39" s="59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5"/>
      <c r="CM39"/>
      <c r="CN39"/>
      <c r="CO39"/>
      <c r="CP39"/>
      <c r="CQ39" s="44"/>
      <c r="CR39" s="44"/>
      <c r="CS39" s="44"/>
      <c r="CT39" s="44"/>
      <c r="CU39" s="44"/>
      <c r="CV39" s="44"/>
      <c r="CW39" s="44"/>
      <c r="CX39" s="45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4"/>
      <c r="DJ39" s="45"/>
      <c r="DK39" s="44"/>
      <c r="DL39" s="44"/>
      <c r="DM39" s="44"/>
      <c r="DN39" s="44"/>
      <c r="DO39" s="44"/>
      <c r="DP39" s="44"/>
      <c r="DQ39" s="44"/>
      <c r="DR39" s="44"/>
      <c r="DS39" s="44"/>
      <c r="DT39" s="44"/>
      <c r="DU39" s="44"/>
      <c r="DV39" s="45"/>
      <c r="DW39" s="44"/>
      <c r="DX39" s="44"/>
      <c r="DY39" s="44"/>
      <c r="DZ39" s="44"/>
      <c r="EA39" s="44"/>
      <c r="EB39" s="44"/>
      <c r="EC39" s="44"/>
      <c r="ED39" s="44"/>
      <c r="EE39" s="44"/>
      <c r="EF39" s="44"/>
      <c r="EG39" s="44"/>
      <c r="EH39" s="45"/>
      <c r="EI39" s="44"/>
      <c r="EJ39" s="44"/>
      <c r="EK39" s="44"/>
      <c r="EL39" s="44"/>
      <c r="EM39" s="44"/>
      <c r="EN39" s="44"/>
      <c r="EO39" s="44"/>
      <c r="EP39" s="44"/>
      <c r="EQ39" s="44"/>
      <c r="ER39" s="44"/>
      <c r="ES39" s="44"/>
      <c r="ET39" s="45"/>
      <c r="EU39" s="44"/>
      <c r="EV39" s="44"/>
      <c r="EW39" s="44"/>
      <c r="EX39" s="44"/>
      <c r="EY39" s="44"/>
      <c r="EZ39" s="44"/>
      <c r="FA39" s="44"/>
      <c r="FB39" s="44"/>
      <c r="FC39" s="44"/>
      <c r="FD39" s="44"/>
      <c r="FE39" s="44"/>
      <c r="FF39" s="46"/>
    </row>
    <row r="40" spans="1:162" ht="15" customHeight="1" x14ac:dyDescent="0.3">
      <c r="A40" s="27"/>
      <c r="B40" s="26"/>
      <c r="C40" s="43" t="s">
        <v>47</v>
      </c>
      <c r="D40" s="54"/>
      <c r="E40" s="66" t="s">
        <v>87</v>
      </c>
      <c r="F40" s="59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5"/>
      <c r="CM40"/>
      <c r="CN40"/>
      <c r="CO40"/>
      <c r="CP40"/>
      <c r="CQ40" s="47"/>
      <c r="CR40" s="47"/>
      <c r="CS40" s="47"/>
      <c r="CT40" s="47"/>
      <c r="CU40" s="47"/>
      <c r="CV40" s="47"/>
      <c r="CW40" s="47"/>
      <c r="CX40" s="48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8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8"/>
      <c r="DW40" s="47"/>
      <c r="DX40" s="47"/>
      <c r="DY40" s="47"/>
      <c r="DZ40" s="47"/>
      <c r="EA40" s="47"/>
      <c r="EB40" s="47"/>
      <c r="EC40" s="47"/>
      <c r="ED40" s="47"/>
      <c r="EE40" s="47"/>
      <c r="EF40" s="47"/>
      <c r="EG40" s="47"/>
      <c r="EH40" s="48"/>
      <c r="EI40" s="47"/>
      <c r="EJ40" s="47"/>
      <c r="EK40" s="47"/>
      <c r="EL40" s="47"/>
      <c r="EM40" s="47"/>
      <c r="EN40" s="47"/>
      <c r="EO40" s="47"/>
      <c r="EP40" s="47"/>
      <c r="EQ40" s="47"/>
      <c r="ER40" s="47"/>
      <c r="ES40" s="47"/>
      <c r="ET40" s="48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  <c r="FF40" s="49"/>
    </row>
    <row r="41" spans="1:162" ht="15" customHeight="1" x14ac:dyDescent="0.3">
      <c r="A41" s="27"/>
      <c r="B41" s="26"/>
      <c r="C41" s="43" t="s">
        <v>48</v>
      </c>
      <c r="D41" s="54"/>
      <c r="E41" s="66" t="s">
        <v>88</v>
      </c>
      <c r="F41" s="59">
        <v>2312551.9386868691</v>
      </c>
      <c r="G41" s="60">
        <v>2312551.9386868691</v>
      </c>
      <c r="H41" s="60">
        <v>2312551.9386868691</v>
      </c>
      <c r="I41" s="60">
        <v>2312551.9386868691</v>
      </c>
      <c r="J41" s="60">
        <v>2312551.9386868691</v>
      </c>
      <c r="K41" s="60">
        <v>2312551.9386868691</v>
      </c>
      <c r="L41" s="60">
        <v>1734413.9540151532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5"/>
      <c r="CM41"/>
      <c r="CN41"/>
      <c r="CO41"/>
      <c r="CP41"/>
      <c r="CQ41" s="40"/>
      <c r="CR41" s="40"/>
      <c r="CS41" s="40"/>
      <c r="CT41" s="40"/>
      <c r="CU41" s="40"/>
      <c r="CV41" s="40"/>
      <c r="CW41" s="40"/>
      <c r="CX41" s="41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1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1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1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1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2"/>
    </row>
    <row r="42" spans="1:162" ht="15" customHeight="1" x14ac:dyDescent="0.3">
      <c r="A42" s="27"/>
      <c r="B42" s="26"/>
      <c r="C42" s="43" t="s">
        <v>49</v>
      </c>
      <c r="D42" s="54"/>
      <c r="E42" s="66" t="s">
        <v>89</v>
      </c>
      <c r="F42" s="59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5"/>
      <c r="CM42"/>
      <c r="CN42"/>
      <c r="CO42"/>
      <c r="CP42"/>
      <c r="CQ42" s="44"/>
      <c r="CR42" s="44"/>
      <c r="CS42" s="44"/>
      <c r="CT42" s="44"/>
      <c r="CU42" s="44"/>
      <c r="CV42" s="44"/>
      <c r="CW42" s="44"/>
      <c r="CX42" s="45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5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5"/>
      <c r="DW42" s="44"/>
      <c r="DX42" s="44"/>
      <c r="DY42" s="44"/>
      <c r="DZ42" s="44"/>
      <c r="EA42" s="44"/>
      <c r="EB42" s="44"/>
      <c r="EC42" s="44"/>
      <c r="ED42" s="44"/>
      <c r="EE42" s="44"/>
      <c r="EF42" s="44"/>
      <c r="EG42" s="44"/>
      <c r="EH42" s="45"/>
      <c r="EI42" s="44"/>
      <c r="EJ42" s="44"/>
      <c r="EK42" s="44"/>
      <c r="EL42" s="44"/>
      <c r="EM42" s="44"/>
      <c r="EN42" s="44"/>
      <c r="EO42" s="44"/>
      <c r="EP42" s="44"/>
      <c r="EQ42" s="44"/>
      <c r="ER42" s="44"/>
      <c r="ES42" s="44"/>
      <c r="ET42" s="45"/>
      <c r="EU42" s="44"/>
      <c r="EV42" s="44"/>
      <c r="EW42" s="44"/>
      <c r="EX42" s="44"/>
      <c r="EY42" s="44"/>
      <c r="EZ42" s="44"/>
      <c r="FA42" s="44"/>
      <c r="FB42" s="44"/>
      <c r="FC42" s="44"/>
      <c r="FD42" s="44"/>
      <c r="FE42" s="44"/>
      <c r="FF42" s="46"/>
    </row>
    <row r="43" spans="1:162" ht="15" customHeight="1" thickBot="1" x14ac:dyDescent="0.35">
      <c r="A43" s="27"/>
      <c r="B43" s="26"/>
      <c r="C43" s="50" t="s">
        <v>50</v>
      </c>
      <c r="D43" s="54"/>
      <c r="E43" s="67" t="s">
        <v>90</v>
      </c>
      <c r="F43" s="61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2"/>
      <c r="CM43"/>
      <c r="CN43"/>
      <c r="CO43"/>
      <c r="CP43"/>
      <c r="CQ43" s="47"/>
      <c r="CR43" s="47"/>
      <c r="CS43" s="47"/>
      <c r="CT43" s="47"/>
      <c r="CU43" s="47"/>
      <c r="CV43" s="47"/>
      <c r="CW43" s="47"/>
      <c r="CX43" s="48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8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8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8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8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9"/>
    </row>
    <row r="44" spans="1:162" ht="15" customHeight="1" x14ac:dyDescent="0.3">
      <c r="A44" s="27"/>
      <c r="B44" s="26"/>
      <c r="C44"/>
      <c r="D44"/>
      <c r="E44" s="5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</row>
    <row r="45" spans="1:162" ht="15" customHeight="1" x14ac:dyDescent="0.3">
      <c r="A45" s="27"/>
      <c r="B45" s="26"/>
      <c r="C45"/>
      <c r="D45"/>
      <c r="E45" s="54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</row>
    <row r="46" spans="1:162" ht="15" customHeight="1" x14ac:dyDescent="0.3">
      <c r="A46" s="27"/>
      <c r="B46" s="26"/>
      <c r="C46"/>
      <c r="D46"/>
      <c r="E46" s="54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</row>
    <row r="47" spans="1:162" ht="15" customHeight="1" x14ac:dyDescent="0.3">
      <c r="A47" s="27"/>
      <c r="B47" s="26"/>
      <c r="C47"/>
      <c r="D47"/>
      <c r="E47" s="54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</row>
    <row r="48" spans="1:162" ht="15" customHeight="1" x14ac:dyDescent="0.3">
      <c r="A48" s="27"/>
      <c r="B48" s="26"/>
      <c r="C48"/>
      <c r="D48"/>
      <c r="E48" s="54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</row>
    <row r="49" spans="1:94" ht="15" customHeight="1" x14ac:dyDescent="0.3">
      <c r="A49" s="27"/>
      <c r="B49" s="26"/>
      <c r="C49"/>
      <c r="D49"/>
      <c r="E49" s="54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</row>
    <row r="50" spans="1:94" ht="15" customHeight="1" x14ac:dyDescent="0.3">
      <c r="A50" s="27"/>
      <c r="B50" s="26"/>
      <c r="C50"/>
      <c r="D50"/>
      <c r="E50" s="5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</row>
    <row r="51" spans="1:94" ht="15" customHeight="1" x14ac:dyDescent="0.3">
      <c r="A51" s="27"/>
      <c r="B51" s="26"/>
      <c r="C51"/>
      <c r="D51"/>
      <c r="E51" s="5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</row>
    <row r="52" spans="1:94" ht="15" customHeight="1" x14ac:dyDescent="0.3">
      <c r="A52" s="27"/>
      <c r="B52" s="26"/>
      <c r="C52"/>
      <c r="D52"/>
      <c r="E52" s="5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</row>
    <row r="53" spans="1:94" ht="15" customHeight="1" x14ac:dyDescent="0.3">
      <c r="A53" s="27"/>
      <c r="B53" s="26"/>
      <c r="C53"/>
      <c r="D53"/>
      <c r="E53" s="5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</row>
    <row r="54" spans="1:94" ht="15" customHeight="1" x14ac:dyDescent="0.3">
      <c r="A54" s="27"/>
      <c r="B54" s="26"/>
      <c r="C54"/>
      <c r="D54"/>
      <c r="E54" s="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</row>
    <row r="55" spans="1:94" ht="15" customHeight="1" x14ac:dyDescent="0.3">
      <c r="A55" s="27"/>
      <c r="B55" s="26"/>
      <c r="C55"/>
      <c r="D55"/>
      <c r="E55" s="5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</row>
    <row r="56" spans="1:94" ht="15" customHeight="1" x14ac:dyDescent="0.3">
      <c r="A56" s="27"/>
      <c r="B56" s="26"/>
      <c r="C56"/>
      <c r="D56"/>
      <c r="E56" s="5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</row>
    <row r="57" spans="1:94" ht="15" customHeight="1" x14ac:dyDescent="0.3">
      <c r="A57" s="27"/>
      <c r="B57" s="26"/>
      <c r="C57"/>
      <c r="D57"/>
      <c r="E57" s="5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</row>
    <row r="58" spans="1:94" customFormat="1" ht="15" customHeight="1" x14ac:dyDescent="0.25">
      <c r="E58" s="54"/>
    </row>
    <row r="59" spans="1:94" customFormat="1" ht="15" customHeight="1" x14ac:dyDescent="0.25">
      <c r="E59" s="54"/>
    </row>
    <row r="60" spans="1:94" customFormat="1" ht="15" customHeight="1" x14ac:dyDescent="0.25">
      <c r="E60" s="54"/>
    </row>
    <row r="61" spans="1:94" customFormat="1" ht="15" customHeight="1" x14ac:dyDescent="0.25">
      <c r="E61" s="54"/>
    </row>
    <row r="62" spans="1:94" customFormat="1" ht="15" customHeight="1" x14ac:dyDescent="0.25">
      <c r="E62" s="54"/>
    </row>
    <row r="63" spans="1:94" customFormat="1" ht="15" customHeight="1" x14ac:dyDescent="0.25">
      <c r="E63" s="54"/>
    </row>
    <row r="64" spans="1:94" customFormat="1" ht="15" customHeight="1" x14ac:dyDescent="0.25">
      <c r="E64" s="54"/>
    </row>
    <row r="65" spans="5:5" customFormat="1" ht="15" customHeight="1" x14ac:dyDescent="0.25">
      <c r="E65" s="54"/>
    </row>
    <row r="66" spans="5:5" customFormat="1" ht="15" customHeight="1" x14ac:dyDescent="0.25">
      <c r="E66" s="54"/>
    </row>
    <row r="67" spans="5:5" customFormat="1" ht="15" customHeight="1" x14ac:dyDescent="0.25">
      <c r="E67" s="54"/>
    </row>
    <row r="68" spans="5:5" customFormat="1" ht="15" customHeight="1" x14ac:dyDescent="0.25">
      <c r="E68" s="54"/>
    </row>
    <row r="69" spans="5:5" customFormat="1" ht="15" customHeight="1" x14ac:dyDescent="0.25">
      <c r="E69" s="54"/>
    </row>
    <row r="70" spans="5:5" customFormat="1" ht="15" customHeight="1" x14ac:dyDescent="0.25">
      <c r="E70" s="54"/>
    </row>
    <row r="71" spans="5:5" customFormat="1" ht="15" customHeight="1" x14ac:dyDescent="0.25">
      <c r="E71" s="54"/>
    </row>
    <row r="72" spans="5:5" customFormat="1" ht="15" customHeight="1" x14ac:dyDescent="0.25">
      <c r="E72" s="54"/>
    </row>
    <row r="73" spans="5:5" customFormat="1" ht="15" customHeight="1" x14ac:dyDescent="0.25">
      <c r="E73" s="54"/>
    </row>
    <row r="74" spans="5:5" customFormat="1" ht="15" customHeight="1" x14ac:dyDescent="0.25">
      <c r="E74" s="54"/>
    </row>
    <row r="75" spans="5:5" customFormat="1" ht="15" customHeight="1" x14ac:dyDescent="0.25">
      <c r="E75" s="54"/>
    </row>
    <row r="76" spans="5:5" customFormat="1" ht="15" customHeight="1" x14ac:dyDescent="0.25">
      <c r="E76" s="54"/>
    </row>
    <row r="77" spans="5:5" customFormat="1" ht="15" customHeight="1" x14ac:dyDescent="0.25">
      <c r="E77" s="54"/>
    </row>
    <row r="78" spans="5:5" customFormat="1" ht="15" customHeight="1" x14ac:dyDescent="0.25">
      <c r="E78" s="54"/>
    </row>
    <row r="79" spans="5:5" customFormat="1" ht="15" customHeight="1" x14ac:dyDescent="0.25">
      <c r="E79" s="54"/>
    </row>
    <row r="80" spans="5:5" customFormat="1" ht="15" customHeight="1" x14ac:dyDescent="0.25">
      <c r="E80" s="54"/>
    </row>
    <row r="81" spans="5:5" customFormat="1" ht="15" customHeight="1" x14ac:dyDescent="0.25">
      <c r="E81" s="54"/>
    </row>
    <row r="82" spans="5:5" customFormat="1" ht="15" customHeight="1" x14ac:dyDescent="0.25">
      <c r="E82" s="54"/>
    </row>
    <row r="83" spans="5:5" customFormat="1" ht="15" customHeight="1" x14ac:dyDescent="0.25">
      <c r="E83" s="54"/>
    </row>
    <row r="84" spans="5:5" customFormat="1" ht="15" customHeight="1" x14ac:dyDescent="0.25">
      <c r="E84" s="54"/>
    </row>
    <row r="85" spans="5:5" customFormat="1" ht="15" customHeight="1" x14ac:dyDescent="0.25">
      <c r="E85" s="54"/>
    </row>
    <row r="86" spans="5:5" customFormat="1" ht="15" customHeight="1" x14ac:dyDescent="0.25">
      <c r="E86" s="54"/>
    </row>
    <row r="87" spans="5:5" customFormat="1" ht="15" customHeight="1" x14ac:dyDescent="0.25">
      <c r="E87" s="54"/>
    </row>
    <row r="88" spans="5:5" customFormat="1" ht="15" customHeight="1" x14ac:dyDescent="0.25">
      <c r="E88" s="54"/>
    </row>
    <row r="89" spans="5:5" customFormat="1" ht="15" customHeight="1" x14ac:dyDescent="0.25">
      <c r="E89" s="54"/>
    </row>
    <row r="90" spans="5:5" customFormat="1" ht="15" customHeight="1" x14ac:dyDescent="0.25">
      <c r="E90" s="54"/>
    </row>
    <row r="91" spans="5:5" customFormat="1" ht="15" customHeight="1" x14ac:dyDescent="0.25">
      <c r="E91" s="54"/>
    </row>
    <row r="92" spans="5:5" customFormat="1" ht="15" customHeight="1" x14ac:dyDescent="0.25">
      <c r="E92" s="54"/>
    </row>
    <row r="93" spans="5:5" customFormat="1" ht="15" customHeight="1" x14ac:dyDescent="0.25">
      <c r="E93" s="54"/>
    </row>
    <row r="94" spans="5:5" customFormat="1" ht="15" customHeight="1" x14ac:dyDescent="0.25">
      <c r="E94" s="54"/>
    </row>
    <row r="95" spans="5:5" customFormat="1" ht="15" customHeight="1" x14ac:dyDescent="0.25">
      <c r="E95" s="54"/>
    </row>
    <row r="96" spans="5:5" customFormat="1" ht="15" customHeight="1" x14ac:dyDescent="0.25">
      <c r="E96" s="54"/>
    </row>
    <row r="97" spans="5:5" customFormat="1" ht="15" customHeight="1" x14ac:dyDescent="0.25">
      <c r="E97" s="54"/>
    </row>
    <row r="98" spans="5:5" customFormat="1" ht="15" customHeight="1" x14ac:dyDescent="0.25">
      <c r="E98" s="54"/>
    </row>
    <row r="99" spans="5:5" customFormat="1" ht="15" customHeight="1" x14ac:dyDescent="0.25">
      <c r="E99" s="54"/>
    </row>
    <row r="100" spans="5:5" customFormat="1" ht="15" customHeight="1" x14ac:dyDescent="0.25">
      <c r="E100" s="54"/>
    </row>
    <row r="101" spans="5:5" customFormat="1" ht="15" customHeight="1" x14ac:dyDescent="0.25">
      <c r="E101" s="54"/>
    </row>
    <row r="102" spans="5:5" customFormat="1" ht="15" customHeight="1" x14ac:dyDescent="0.25">
      <c r="E102" s="54"/>
    </row>
    <row r="103" spans="5:5" customFormat="1" ht="15" customHeight="1" x14ac:dyDescent="0.25">
      <c r="E103" s="54"/>
    </row>
    <row r="104" spans="5:5" customFormat="1" ht="15" customHeight="1" x14ac:dyDescent="0.25">
      <c r="E104" s="54"/>
    </row>
    <row r="105" spans="5:5" customFormat="1" ht="15" customHeight="1" x14ac:dyDescent="0.25">
      <c r="E105" s="54"/>
    </row>
    <row r="106" spans="5:5" customFormat="1" ht="15" customHeight="1" x14ac:dyDescent="0.25">
      <c r="E106" s="54"/>
    </row>
    <row r="107" spans="5:5" customFormat="1" ht="15" customHeight="1" x14ac:dyDescent="0.25">
      <c r="E107" s="54"/>
    </row>
    <row r="108" spans="5:5" customFormat="1" ht="15" customHeight="1" x14ac:dyDescent="0.25">
      <c r="E108" s="54"/>
    </row>
    <row r="109" spans="5:5" customFormat="1" ht="15" customHeight="1" x14ac:dyDescent="0.25">
      <c r="E109" s="54"/>
    </row>
    <row r="110" spans="5:5" customFormat="1" ht="15" customHeight="1" x14ac:dyDescent="0.25">
      <c r="E110" s="54"/>
    </row>
    <row r="111" spans="5:5" customFormat="1" ht="15" customHeight="1" x14ac:dyDescent="0.25">
      <c r="E111" s="54"/>
    </row>
    <row r="112" spans="5:5" customFormat="1" ht="15" customHeight="1" x14ac:dyDescent="0.25">
      <c r="E112" s="54"/>
    </row>
    <row r="113" spans="5:5" customFormat="1" ht="15" customHeight="1" x14ac:dyDescent="0.25">
      <c r="E113" s="54"/>
    </row>
    <row r="114" spans="5:5" customFormat="1" ht="15" customHeight="1" x14ac:dyDescent="0.25">
      <c r="E114" s="54"/>
    </row>
    <row r="115" spans="5:5" customFormat="1" ht="15" customHeight="1" x14ac:dyDescent="0.25">
      <c r="E115" s="54"/>
    </row>
    <row r="116" spans="5:5" customFormat="1" ht="15" customHeight="1" x14ac:dyDescent="0.25">
      <c r="E116" s="54"/>
    </row>
    <row r="117" spans="5:5" customFormat="1" ht="15" customHeight="1" x14ac:dyDescent="0.25">
      <c r="E117" s="54"/>
    </row>
    <row r="118" spans="5:5" customFormat="1" ht="15" customHeight="1" x14ac:dyDescent="0.25">
      <c r="E118" s="54"/>
    </row>
    <row r="119" spans="5:5" customFormat="1" ht="15" customHeight="1" x14ac:dyDescent="0.25">
      <c r="E119" s="54"/>
    </row>
    <row r="120" spans="5:5" customFormat="1" ht="15" customHeight="1" x14ac:dyDescent="0.25">
      <c r="E120" s="54"/>
    </row>
    <row r="121" spans="5:5" customFormat="1" ht="15" customHeight="1" x14ac:dyDescent="0.25">
      <c r="E121" s="54"/>
    </row>
    <row r="122" spans="5:5" customFormat="1" ht="15" customHeight="1" x14ac:dyDescent="0.25"/>
    <row r="123" spans="5:5" customFormat="1" ht="15" customHeight="1" x14ac:dyDescent="0.25"/>
    <row r="124" spans="5:5" customFormat="1" ht="15" customHeight="1" x14ac:dyDescent="0.25"/>
    <row r="125" spans="5:5" customFormat="1" ht="15" customHeight="1" x14ac:dyDescent="0.25"/>
    <row r="126" spans="5:5" customFormat="1" ht="15" customHeight="1" x14ac:dyDescent="0.25"/>
    <row r="127" spans="5:5" customFormat="1" ht="15" customHeight="1" x14ac:dyDescent="0.25"/>
    <row r="128" spans="5:5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0" hidden="1" customHeight="1" x14ac:dyDescent="0.25"/>
    <row r="251" customFormat="1" ht="0" hidden="1" customHeight="1" x14ac:dyDescent="0.25"/>
    <row r="252" customFormat="1" ht="0" hidden="1" customHeight="1" x14ac:dyDescent="0.25"/>
    <row r="253" customFormat="1" ht="0" hidden="1" customHeight="1" x14ac:dyDescent="0.25"/>
    <row r="254" customFormat="1" ht="0" hidden="1" customHeight="1" x14ac:dyDescent="0.25"/>
    <row r="255" customFormat="1" ht="0" hidden="1" customHeight="1" x14ac:dyDescent="0.25"/>
    <row r="256" customFormat="1" ht="0" hidden="1" customHeight="1" x14ac:dyDescent="0.25"/>
    <row r="257" customFormat="1" ht="0" hidden="1" customHeight="1" x14ac:dyDescent="0.25"/>
    <row r="258" customFormat="1" ht="0" hidden="1" customHeight="1" x14ac:dyDescent="0.25"/>
    <row r="259" customFormat="1" ht="0" hidden="1" customHeight="1" x14ac:dyDescent="0.25"/>
    <row r="260" customFormat="1" ht="0" hidden="1" customHeight="1" x14ac:dyDescent="0.25"/>
    <row r="261" customFormat="1" ht="0" hidden="1" customHeight="1" x14ac:dyDescent="0.25"/>
    <row r="262" customFormat="1" ht="0" hidden="1" customHeight="1" x14ac:dyDescent="0.25"/>
    <row r="263" customFormat="1" ht="0" hidden="1" customHeight="1" x14ac:dyDescent="0.25"/>
    <row r="264" customFormat="1" ht="0" hidden="1" customHeight="1" x14ac:dyDescent="0.25"/>
    <row r="265" customFormat="1" ht="0" hidden="1" customHeight="1" x14ac:dyDescent="0.25"/>
    <row r="266" customFormat="1" ht="0" hidden="1" customHeight="1" x14ac:dyDescent="0.25"/>
    <row r="267" customFormat="1" ht="0" hidden="1" customHeight="1" x14ac:dyDescent="0.25"/>
    <row r="268" customFormat="1" ht="0" hidden="1" customHeight="1" x14ac:dyDescent="0.25"/>
    <row r="269" customFormat="1" ht="0" hidden="1" customHeight="1" x14ac:dyDescent="0.25"/>
    <row r="270" customFormat="1" ht="0" hidden="1" customHeight="1" x14ac:dyDescent="0.25"/>
    <row r="271" customFormat="1" ht="0" hidden="1" customHeight="1" x14ac:dyDescent="0.25"/>
    <row r="272" customFormat="1" ht="0" hidden="1" customHeight="1" x14ac:dyDescent="0.25"/>
    <row r="273" customFormat="1" ht="0" hidden="1" customHeight="1" x14ac:dyDescent="0.25"/>
    <row r="274" customFormat="1" ht="0" hidden="1" customHeight="1" x14ac:dyDescent="0.25"/>
    <row r="275" customFormat="1" ht="0" hidden="1" customHeight="1" x14ac:dyDescent="0.25"/>
    <row r="276" customFormat="1" ht="0" hidden="1" customHeight="1" x14ac:dyDescent="0.25"/>
    <row r="277" customFormat="1" ht="0" hidden="1" customHeight="1" x14ac:dyDescent="0.25"/>
    <row r="278" customFormat="1" ht="0" hidden="1" customHeight="1" x14ac:dyDescent="0.25"/>
    <row r="279" customFormat="1" ht="0" hidden="1" customHeight="1" x14ac:dyDescent="0.25"/>
    <row r="280" customFormat="1" ht="0" hidden="1" customHeight="1" x14ac:dyDescent="0.25"/>
    <row r="281" customFormat="1" ht="0" hidden="1" customHeight="1" x14ac:dyDescent="0.25"/>
    <row r="282" customFormat="1" ht="0" hidden="1" customHeight="1" x14ac:dyDescent="0.25"/>
    <row r="283" customFormat="1" ht="0" hidden="1" customHeight="1" x14ac:dyDescent="0.25"/>
    <row r="284" customFormat="1" ht="0" hidden="1" customHeight="1" x14ac:dyDescent="0.25"/>
    <row r="285" customFormat="1" ht="0" hidden="1" customHeight="1" x14ac:dyDescent="0.25"/>
    <row r="286" customFormat="1" ht="0" hidden="1" customHeight="1" x14ac:dyDescent="0.25"/>
    <row r="287" customFormat="1" ht="0" hidden="1" customHeight="1" x14ac:dyDescent="0.25"/>
    <row r="288" customFormat="1" ht="0" hidden="1" customHeight="1" x14ac:dyDescent="0.25"/>
    <row r="289" customFormat="1" ht="0" hidden="1" customHeight="1" x14ac:dyDescent="0.25"/>
    <row r="290" customFormat="1" ht="0" hidden="1" customHeight="1" x14ac:dyDescent="0.25"/>
    <row r="291" customFormat="1" ht="0" hidden="1" customHeight="1" x14ac:dyDescent="0.25"/>
    <row r="292" customFormat="1" ht="0" hidden="1" customHeight="1" x14ac:dyDescent="0.25"/>
    <row r="293" customFormat="1" ht="0" hidden="1" customHeight="1" x14ac:dyDescent="0.25"/>
    <row r="294" customFormat="1" ht="0" hidden="1" customHeight="1" x14ac:dyDescent="0.25"/>
    <row r="295" customFormat="1" ht="0" hidden="1" customHeight="1" x14ac:dyDescent="0.25"/>
    <row r="296" customFormat="1" ht="0" hidden="1" customHeight="1" x14ac:dyDescent="0.25"/>
    <row r="297" customFormat="1" ht="0" hidden="1" customHeight="1" x14ac:dyDescent="0.25"/>
    <row r="298" customFormat="1" ht="0" hidden="1" customHeight="1" x14ac:dyDescent="0.25"/>
    <row r="299" customFormat="1" ht="0" hidden="1" customHeight="1" x14ac:dyDescent="0.25"/>
    <row r="300" customFormat="1" ht="0" hidden="1" customHeight="1" x14ac:dyDescent="0.25"/>
    <row r="301" customFormat="1" ht="0" hidden="1" customHeight="1" x14ac:dyDescent="0.25"/>
    <row r="302" customFormat="1" ht="0" hidden="1" customHeight="1" x14ac:dyDescent="0.25"/>
    <row r="303" customFormat="1" ht="0" hidden="1" customHeight="1" x14ac:dyDescent="0.25"/>
    <row r="304" customFormat="1" ht="0" hidden="1" customHeight="1" x14ac:dyDescent="0.25"/>
    <row r="305" customFormat="1" ht="0" hidden="1" customHeight="1" x14ac:dyDescent="0.25"/>
    <row r="306" customFormat="1" ht="0" hidden="1" customHeight="1" x14ac:dyDescent="0.25"/>
    <row r="307" customFormat="1" ht="0" hidden="1" customHeight="1" x14ac:dyDescent="0.25"/>
    <row r="308" customFormat="1" ht="0" hidden="1" customHeight="1" x14ac:dyDescent="0.25"/>
    <row r="309" customFormat="1" ht="0" hidden="1" customHeight="1" x14ac:dyDescent="0.25"/>
    <row r="310" customFormat="1" ht="0" hidden="1" customHeight="1" x14ac:dyDescent="0.25"/>
    <row r="311" customFormat="1" ht="0" hidden="1" customHeight="1" x14ac:dyDescent="0.25"/>
    <row r="312" customFormat="1" ht="0" hidden="1" customHeight="1" x14ac:dyDescent="0.25"/>
    <row r="313" customFormat="1" ht="0" hidden="1" customHeight="1" x14ac:dyDescent="0.25"/>
    <row r="314" customFormat="1" ht="0" hidden="1" customHeight="1" x14ac:dyDescent="0.25"/>
    <row r="315" customFormat="1" ht="0" hidden="1" customHeight="1" x14ac:dyDescent="0.25"/>
    <row r="316" customFormat="1" ht="0" hidden="1" customHeight="1" x14ac:dyDescent="0.25"/>
    <row r="317" customFormat="1" ht="0" hidden="1" customHeight="1" x14ac:dyDescent="0.25"/>
    <row r="318" customFormat="1" ht="0" hidden="1" customHeight="1" x14ac:dyDescent="0.25"/>
    <row r="319" customFormat="1" ht="0" hidden="1" customHeight="1" x14ac:dyDescent="0.25"/>
    <row r="320" customFormat="1" ht="0" hidden="1" customHeight="1" x14ac:dyDescent="0.25"/>
    <row r="321" customFormat="1" ht="0" hidden="1" customHeight="1" x14ac:dyDescent="0.25"/>
    <row r="322" customFormat="1" ht="0" hidden="1" customHeight="1" x14ac:dyDescent="0.25"/>
    <row r="323" customFormat="1" ht="0" hidden="1" customHeight="1" x14ac:dyDescent="0.25"/>
    <row r="324" customFormat="1" ht="0" hidden="1" customHeight="1" x14ac:dyDescent="0.25"/>
    <row r="325" customFormat="1" ht="0" hidden="1" customHeight="1" x14ac:dyDescent="0.25"/>
    <row r="326" customFormat="1" ht="0" hidden="1" customHeight="1" x14ac:dyDescent="0.25"/>
    <row r="327" customFormat="1" ht="0" hidden="1" customHeight="1" x14ac:dyDescent="0.25"/>
    <row r="328" customFormat="1" ht="0" hidden="1" customHeight="1" x14ac:dyDescent="0.25"/>
    <row r="329" customFormat="1" ht="0" hidden="1" customHeight="1" x14ac:dyDescent="0.25"/>
    <row r="330" customFormat="1" ht="0" hidden="1" customHeight="1" x14ac:dyDescent="0.25"/>
    <row r="331" customFormat="1" ht="0" hidden="1" customHeight="1" x14ac:dyDescent="0.25"/>
    <row r="332" customFormat="1" ht="0" hidden="1" customHeight="1" x14ac:dyDescent="0.25"/>
    <row r="333" customFormat="1" ht="0" hidden="1" customHeight="1" x14ac:dyDescent="0.25"/>
    <row r="334" customFormat="1" ht="0" hidden="1" customHeight="1" x14ac:dyDescent="0.25"/>
    <row r="335" customFormat="1" ht="0" hidden="1" customHeight="1" x14ac:dyDescent="0.25"/>
    <row r="336" customFormat="1" ht="0" hidden="1" customHeight="1" x14ac:dyDescent="0.25"/>
    <row r="337" customFormat="1" ht="0" hidden="1" customHeight="1" x14ac:dyDescent="0.25"/>
    <row r="338" customFormat="1" ht="0" hidden="1" customHeight="1" x14ac:dyDescent="0.25"/>
    <row r="339" customFormat="1" ht="0" hidden="1" customHeight="1" x14ac:dyDescent="0.25"/>
    <row r="340" customFormat="1" ht="0" hidden="1" customHeight="1" x14ac:dyDescent="0.25"/>
    <row r="341" customFormat="1" ht="0" hidden="1" customHeight="1" x14ac:dyDescent="0.25"/>
    <row r="342" customFormat="1" ht="0" hidden="1" customHeight="1" x14ac:dyDescent="0.25"/>
    <row r="343" customFormat="1" ht="0" hidden="1" customHeight="1" x14ac:dyDescent="0.25"/>
    <row r="344" customFormat="1" ht="0" hidden="1" customHeight="1" x14ac:dyDescent="0.25"/>
    <row r="345" customFormat="1" ht="0" hidden="1" customHeight="1" x14ac:dyDescent="0.25"/>
    <row r="346" customFormat="1" ht="0" hidden="1" customHeight="1" x14ac:dyDescent="0.25"/>
    <row r="347" customFormat="1" ht="0" hidden="1" customHeight="1" x14ac:dyDescent="0.25"/>
    <row r="348" customFormat="1" ht="0" hidden="1" customHeight="1" x14ac:dyDescent="0.25"/>
    <row r="349" customFormat="1" ht="0" hidden="1" customHeight="1" x14ac:dyDescent="0.25"/>
    <row r="350" customFormat="1" ht="0" hidden="1" customHeight="1" x14ac:dyDescent="0.25"/>
    <row r="351" customFormat="1" ht="0" hidden="1" customHeight="1" x14ac:dyDescent="0.25"/>
    <row r="352" customFormat="1" ht="0" hidden="1" customHeight="1" x14ac:dyDescent="0.25"/>
    <row r="353" customFormat="1" ht="0" hidden="1" customHeight="1" x14ac:dyDescent="0.25"/>
    <row r="354" customFormat="1" ht="0" hidden="1" customHeight="1" x14ac:dyDescent="0.25"/>
    <row r="355" customFormat="1" ht="0" hidden="1" customHeight="1" x14ac:dyDescent="0.25"/>
    <row r="356" customFormat="1" ht="0" hidden="1" customHeight="1" x14ac:dyDescent="0.25"/>
    <row r="357" customFormat="1" ht="0" hidden="1" customHeight="1" x14ac:dyDescent="0.25"/>
    <row r="358" customFormat="1" ht="0" hidden="1" customHeight="1" x14ac:dyDescent="0.25"/>
    <row r="359" customFormat="1" ht="0" hidden="1" customHeight="1" x14ac:dyDescent="0.25"/>
    <row r="360" customFormat="1" ht="0" hidden="1" customHeight="1" x14ac:dyDescent="0.25"/>
    <row r="361" customFormat="1" ht="0" hidden="1" customHeight="1" x14ac:dyDescent="0.25"/>
    <row r="362" customFormat="1" ht="0" hidden="1" customHeight="1" x14ac:dyDescent="0.25"/>
    <row r="363" customFormat="1" ht="0" hidden="1" customHeight="1" x14ac:dyDescent="0.25"/>
    <row r="364" customFormat="1" ht="0" hidden="1" customHeight="1" x14ac:dyDescent="0.25"/>
    <row r="365" customFormat="1" ht="0" hidden="1" customHeight="1" x14ac:dyDescent="0.25"/>
    <row r="366" customFormat="1" ht="0" hidden="1" customHeight="1" x14ac:dyDescent="0.25"/>
    <row r="367" customFormat="1" ht="0" hidden="1" customHeight="1" x14ac:dyDescent="0.25"/>
    <row r="368" customFormat="1" ht="0" hidden="1" customHeight="1" x14ac:dyDescent="0.25"/>
    <row r="369" customFormat="1" ht="0" hidden="1" customHeight="1" x14ac:dyDescent="0.25"/>
    <row r="370" customFormat="1" ht="0" hidden="1" customHeight="1" x14ac:dyDescent="0.25"/>
    <row r="371" customFormat="1" ht="0" hidden="1" customHeight="1" x14ac:dyDescent="0.25"/>
    <row r="372" customFormat="1" ht="0" hidden="1" customHeight="1" x14ac:dyDescent="0.25"/>
    <row r="373" customFormat="1" ht="0" hidden="1" customHeight="1" x14ac:dyDescent="0.25"/>
    <row r="374" customFormat="1" ht="0" hidden="1" customHeight="1" x14ac:dyDescent="0.25"/>
    <row r="375" customFormat="1" ht="0" hidden="1" customHeight="1" x14ac:dyDescent="0.25"/>
    <row r="376" customFormat="1" ht="0" hidden="1" customHeight="1" x14ac:dyDescent="0.25"/>
    <row r="377" customFormat="1" ht="0" hidden="1" customHeight="1" x14ac:dyDescent="0.25"/>
    <row r="378" customFormat="1" ht="0" hidden="1" customHeight="1" x14ac:dyDescent="0.25"/>
    <row r="379" customFormat="1" ht="0" hidden="1" customHeight="1" x14ac:dyDescent="0.25"/>
    <row r="380" customFormat="1" ht="0" hidden="1" customHeight="1" x14ac:dyDescent="0.25"/>
    <row r="381" customFormat="1" ht="0" hidden="1" customHeight="1" x14ac:dyDescent="0.25"/>
    <row r="382" customFormat="1" ht="0" hidden="1" customHeight="1" x14ac:dyDescent="0.25"/>
    <row r="383" customFormat="1" ht="0" hidden="1" customHeight="1" x14ac:dyDescent="0.25"/>
    <row r="384" customFormat="1" ht="0" hidden="1" customHeight="1" x14ac:dyDescent="0.25"/>
    <row r="385" customFormat="1" ht="0" hidden="1" customHeight="1" x14ac:dyDescent="0.25"/>
    <row r="386" customFormat="1" ht="0" hidden="1" customHeight="1" x14ac:dyDescent="0.25"/>
    <row r="387" customFormat="1" ht="0" hidden="1" customHeight="1" x14ac:dyDescent="0.25"/>
    <row r="388" customFormat="1" ht="0" hidden="1" customHeight="1" x14ac:dyDescent="0.25"/>
    <row r="389" customFormat="1" ht="0" hidden="1" customHeight="1" x14ac:dyDescent="0.25"/>
    <row r="390" customFormat="1" ht="0" hidden="1" customHeight="1" x14ac:dyDescent="0.25"/>
    <row r="391" customFormat="1" ht="0" hidden="1" customHeight="1" x14ac:dyDescent="0.25"/>
    <row r="392" customFormat="1" ht="0" hidden="1" customHeight="1" x14ac:dyDescent="0.25"/>
    <row r="393" customFormat="1" ht="0" hidden="1" customHeight="1" x14ac:dyDescent="0.25"/>
    <row r="394" customFormat="1" ht="0" hidden="1" customHeight="1" x14ac:dyDescent="0.25"/>
    <row r="395" customFormat="1" ht="0" hidden="1" customHeight="1" x14ac:dyDescent="0.25"/>
    <row r="396" customFormat="1" ht="0" hidden="1" customHeight="1" x14ac:dyDescent="0.25"/>
    <row r="397" customFormat="1" ht="0" hidden="1" customHeight="1" x14ac:dyDescent="0.25"/>
    <row r="398" customFormat="1" ht="0" hidden="1" customHeight="1" x14ac:dyDescent="0.25"/>
    <row r="399" customFormat="1" ht="0" hidden="1" customHeight="1" x14ac:dyDescent="0.25"/>
    <row r="400" customFormat="1" ht="0" hidden="1" customHeight="1" x14ac:dyDescent="0.25"/>
    <row r="401" customFormat="1" ht="0" hidden="1" customHeight="1" x14ac:dyDescent="0.25"/>
    <row r="402" customFormat="1" ht="0" hidden="1" customHeight="1" x14ac:dyDescent="0.25"/>
    <row r="403" customFormat="1" ht="0" hidden="1" customHeight="1" x14ac:dyDescent="0.25"/>
    <row r="404" customFormat="1" ht="0" hidden="1" customHeight="1" x14ac:dyDescent="0.25"/>
    <row r="405" customFormat="1" ht="0" hidden="1" customHeight="1" x14ac:dyDescent="0.25"/>
    <row r="406" customFormat="1" ht="0" hidden="1" customHeight="1" x14ac:dyDescent="0.25"/>
    <row r="407" customFormat="1" ht="0" hidden="1" customHeight="1" x14ac:dyDescent="0.25"/>
    <row r="408" customFormat="1" ht="0" hidden="1" customHeight="1" x14ac:dyDescent="0.25"/>
    <row r="409" customFormat="1" ht="0" hidden="1" customHeight="1" x14ac:dyDescent="0.25"/>
    <row r="410" customFormat="1" ht="0" hidden="1" customHeight="1" x14ac:dyDescent="0.25"/>
    <row r="411" customFormat="1" ht="0" hidden="1" customHeight="1" x14ac:dyDescent="0.25"/>
    <row r="412" customFormat="1" ht="0" hidden="1" customHeight="1" x14ac:dyDescent="0.25"/>
    <row r="413" customFormat="1" ht="0" hidden="1" customHeight="1" x14ac:dyDescent="0.25"/>
    <row r="414" customFormat="1" ht="0" hidden="1" customHeight="1" x14ac:dyDescent="0.25"/>
    <row r="415" customFormat="1" ht="0" hidden="1" customHeight="1" x14ac:dyDescent="0.25"/>
    <row r="416" customFormat="1" ht="0" hidden="1" customHeight="1" x14ac:dyDescent="0.25"/>
    <row r="417" customFormat="1" ht="0" hidden="1" customHeight="1" x14ac:dyDescent="0.25"/>
    <row r="418" customFormat="1" ht="0" hidden="1" customHeight="1" x14ac:dyDescent="0.25"/>
    <row r="419" customFormat="1" ht="0" hidden="1" customHeight="1" x14ac:dyDescent="0.25"/>
    <row r="420" customFormat="1" ht="0" hidden="1" customHeight="1" x14ac:dyDescent="0.25"/>
    <row r="421" customFormat="1" ht="0" hidden="1" customHeight="1" x14ac:dyDescent="0.25"/>
    <row r="422" customFormat="1" ht="0" hidden="1" customHeight="1" x14ac:dyDescent="0.25"/>
    <row r="423" customFormat="1" ht="0" hidden="1" customHeight="1" x14ac:dyDescent="0.25"/>
    <row r="424" customFormat="1" ht="0" hidden="1" customHeight="1" x14ac:dyDescent="0.25"/>
    <row r="425" customFormat="1" ht="0" hidden="1" customHeight="1" x14ac:dyDescent="0.25"/>
    <row r="426" customFormat="1" ht="0" hidden="1" customHeight="1" x14ac:dyDescent="0.25"/>
    <row r="427" customFormat="1" ht="0" hidden="1" customHeight="1" x14ac:dyDescent="0.25"/>
    <row r="428" customFormat="1" ht="0" hidden="1" customHeight="1" x14ac:dyDescent="0.25"/>
    <row r="429" customFormat="1" ht="0" hidden="1" customHeight="1" x14ac:dyDescent="0.25"/>
    <row r="430" customFormat="1" ht="0" hidden="1" customHeight="1" x14ac:dyDescent="0.25"/>
    <row r="431" customFormat="1" ht="0" hidden="1" customHeight="1" x14ac:dyDescent="0.25"/>
    <row r="432" customFormat="1" ht="0" hidden="1" customHeight="1" x14ac:dyDescent="0.25"/>
    <row r="433" customFormat="1" ht="0" hidden="1" customHeight="1" x14ac:dyDescent="0.25"/>
    <row r="434" customFormat="1" ht="0" hidden="1" customHeight="1" x14ac:dyDescent="0.25"/>
    <row r="435" customFormat="1" ht="0" hidden="1" customHeight="1" x14ac:dyDescent="0.25"/>
    <row r="436" customFormat="1" ht="0" hidden="1" customHeight="1" x14ac:dyDescent="0.25"/>
    <row r="437" customFormat="1" ht="0" hidden="1" customHeight="1" x14ac:dyDescent="0.25"/>
    <row r="438" customFormat="1" ht="0" hidden="1" customHeight="1" x14ac:dyDescent="0.25"/>
    <row r="439" customFormat="1" ht="0" hidden="1" customHeight="1" x14ac:dyDescent="0.25"/>
    <row r="440" customFormat="1" ht="0" hidden="1" customHeight="1" x14ac:dyDescent="0.25"/>
    <row r="441" customFormat="1" ht="0" hidden="1" customHeight="1" x14ac:dyDescent="0.25"/>
    <row r="442" customFormat="1" ht="0" hidden="1" customHeight="1" x14ac:dyDescent="0.25"/>
    <row r="443" customFormat="1" ht="0" hidden="1" customHeight="1" x14ac:dyDescent="0.25"/>
    <row r="444" customFormat="1" ht="0" hidden="1" customHeight="1" x14ac:dyDescent="0.25"/>
    <row r="445" customFormat="1" ht="0" hidden="1" customHeight="1" x14ac:dyDescent="0.25"/>
    <row r="446" customFormat="1" ht="0" hidden="1" customHeight="1" x14ac:dyDescent="0.25"/>
    <row r="447" customFormat="1" ht="0" hidden="1" customHeight="1" x14ac:dyDescent="0.25"/>
    <row r="448" customFormat="1" ht="0" hidden="1" customHeight="1" x14ac:dyDescent="0.25"/>
    <row r="449" customFormat="1" ht="0" hidden="1" customHeight="1" x14ac:dyDescent="0.25"/>
    <row r="450" customFormat="1" ht="0" hidden="1" customHeight="1" x14ac:dyDescent="0.25"/>
    <row r="451" customFormat="1" ht="0" hidden="1" customHeight="1" x14ac:dyDescent="0.25"/>
    <row r="452" customFormat="1" ht="0" hidden="1" customHeight="1" x14ac:dyDescent="0.25"/>
    <row r="453" customFormat="1" ht="0" hidden="1" customHeight="1" x14ac:dyDescent="0.25"/>
    <row r="454" customFormat="1" ht="0" hidden="1" customHeight="1" x14ac:dyDescent="0.25"/>
    <row r="455" customFormat="1" ht="0" hidden="1" customHeight="1" x14ac:dyDescent="0.25"/>
    <row r="456" customFormat="1" ht="0" hidden="1" customHeight="1" x14ac:dyDescent="0.25"/>
    <row r="457" customFormat="1" ht="0" hidden="1" customHeight="1" x14ac:dyDescent="0.25"/>
    <row r="458" customFormat="1" ht="0" hidden="1" customHeight="1" x14ac:dyDescent="0.25"/>
    <row r="459" customFormat="1" ht="0" hidden="1" customHeight="1" x14ac:dyDescent="0.25"/>
    <row r="460" customFormat="1" ht="0" hidden="1" customHeight="1" x14ac:dyDescent="0.25"/>
    <row r="461" customFormat="1" ht="0" hidden="1" customHeight="1" x14ac:dyDescent="0.25"/>
    <row r="462" customFormat="1" ht="0" hidden="1" customHeight="1" x14ac:dyDescent="0.25"/>
    <row r="463" customFormat="1" ht="0" hidden="1" customHeight="1" x14ac:dyDescent="0.25"/>
    <row r="464" customFormat="1" ht="0" hidden="1" customHeight="1" x14ac:dyDescent="0.25"/>
    <row r="465" customFormat="1" ht="0" hidden="1" customHeight="1" x14ac:dyDescent="0.25"/>
    <row r="466" customFormat="1" ht="0" hidden="1" customHeight="1" x14ac:dyDescent="0.25"/>
    <row r="467" customFormat="1" ht="0" hidden="1" customHeight="1" x14ac:dyDescent="0.25"/>
    <row r="468" customFormat="1" ht="0" hidden="1" customHeight="1" x14ac:dyDescent="0.25"/>
    <row r="469" customFormat="1" ht="0" hidden="1" customHeight="1" x14ac:dyDescent="0.25"/>
    <row r="470" customFormat="1" ht="0" hidden="1" customHeight="1" x14ac:dyDescent="0.25"/>
    <row r="471" customFormat="1" ht="0" hidden="1" customHeight="1" x14ac:dyDescent="0.25"/>
    <row r="472" customFormat="1" ht="0" hidden="1" customHeight="1" x14ac:dyDescent="0.25"/>
    <row r="473" customFormat="1" ht="0" hidden="1" customHeight="1" x14ac:dyDescent="0.25"/>
    <row r="474" customFormat="1" ht="0" hidden="1" customHeight="1" x14ac:dyDescent="0.25"/>
    <row r="475" customFormat="1" ht="0" hidden="1" customHeight="1" x14ac:dyDescent="0.25"/>
    <row r="476" customFormat="1" ht="0" hidden="1" customHeight="1" x14ac:dyDescent="0.25"/>
    <row r="477" customFormat="1" ht="0" hidden="1" customHeight="1" x14ac:dyDescent="0.25"/>
    <row r="478" customFormat="1" ht="0" hidden="1" customHeight="1" x14ac:dyDescent="0.25"/>
    <row r="479" customFormat="1" ht="0" hidden="1" customHeight="1" x14ac:dyDescent="0.25"/>
    <row r="480" customFormat="1" ht="0" hidden="1" customHeight="1" x14ac:dyDescent="0.25"/>
    <row r="481" customFormat="1" ht="0" hidden="1" customHeight="1" x14ac:dyDescent="0.25"/>
    <row r="482" customFormat="1" ht="0" hidden="1" customHeight="1" x14ac:dyDescent="0.25"/>
    <row r="483" customFormat="1" ht="0" hidden="1" customHeight="1" x14ac:dyDescent="0.25"/>
    <row r="484" customFormat="1" ht="0" hidden="1" customHeight="1" x14ac:dyDescent="0.25"/>
    <row r="485" customFormat="1" ht="0" hidden="1" customHeight="1" x14ac:dyDescent="0.25"/>
    <row r="486" customFormat="1" ht="0" hidden="1" customHeight="1" x14ac:dyDescent="0.25"/>
    <row r="487" customFormat="1" ht="0" hidden="1" customHeight="1" x14ac:dyDescent="0.25"/>
    <row r="488" customFormat="1" ht="0" hidden="1" customHeight="1" x14ac:dyDescent="0.25"/>
    <row r="489" customFormat="1" ht="0" hidden="1" customHeight="1" x14ac:dyDescent="0.25"/>
    <row r="490" customFormat="1" ht="0" hidden="1" customHeight="1" x14ac:dyDescent="0.25"/>
    <row r="491" customFormat="1" ht="0" hidden="1" customHeight="1" x14ac:dyDescent="0.25"/>
    <row r="492" customFormat="1" ht="0" hidden="1" customHeight="1" x14ac:dyDescent="0.25"/>
    <row r="493" customFormat="1" ht="0" hidden="1" customHeight="1" x14ac:dyDescent="0.25"/>
    <row r="494" customFormat="1" ht="0" hidden="1" customHeight="1" x14ac:dyDescent="0.25"/>
    <row r="495" customFormat="1" ht="0" hidden="1" customHeight="1" x14ac:dyDescent="0.25"/>
    <row r="496" customFormat="1" ht="0" hidden="1" customHeight="1" x14ac:dyDescent="0.25"/>
    <row r="497" customFormat="1" ht="0" hidden="1" customHeight="1" x14ac:dyDescent="0.25"/>
    <row r="498" customFormat="1" ht="0" hidden="1" customHeight="1" x14ac:dyDescent="0.25"/>
    <row r="499" customFormat="1" ht="0" hidden="1" customHeight="1" x14ac:dyDescent="0.25"/>
    <row r="500" customFormat="1" ht="0" hidden="1" customHeight="1" x14ac:dyDescent="0.25"/>
    <row r="501" customFormat="1" ht="0" hidden="1" customHeight="1" x14ac:dyDescent="0.25"/>
    <row r="502" customFormat="1" ht="0" hidden="1" customHeight="1" x14ac:dyDescent="0.25"/>
    <row r="503" customFormat="1" ht="0" hidden="1" customHeight="1" x14ac:dyDescent="0.25"/>
  </sheetData>
  <dataConsolidate/>
  <conditionalFormatting sqref="F7:AO43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92D050"/>
  </sheetPr>
  <dimension ref="A1:JA39"/>
  <sheetViews>
    <sheetView zoomScale="85" zoomScaleNormal="85" workbookViewId="0">
      <selection sqref="A1:BV39"/>
    </sheetView>
  </sheetViews>
  <sheetFormatPr baseColWidth="10" defaultRowHeight="13.2" x14ac:dyDescent="0.25"/>
  <cols>
    <col min="1" max="1" width="38" bestFit="1" customWidth="1"/>
    <col min="2" max="2" width="38" customWidth="1"/>
  </cols>
  <sheetData>
    <row r="1" spans="1:261" x14ac:dyDescent="0.25">
      <c r="A1" t="s">
        <v>91</v>
      </c>
      <c r="B1" s="30" t="s">
        <v>54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IJ1" s="31"/>
      <c r="IK1" s="31"/>
      <c r="IL1" s="31"/>
      <c r="IM1" s="31"/>
      <c r="IN1" s="31"/>
      <c r="IO1" s="31"/>
      <c r="IP1" s="31"/>
      <c r="IQ1" s="31"/>
      <c r="IR1" s="31"/>
      <c r="IS1" s="31"/>
      <c r="IT1" s="31"/>
      <c r="IU1" s="31"/>
      <c r="IV1" s="31"/>
      <c r="IW1" s="31"/>
      <c r="IX1" s="31"/>
      <c r="IY1" s="31"/>
      <c r="IZ1" s="31"/>
      <c r="JA1" s="31"/>
    </row>
    <row r="2" spans="1:261" x14ac:dyDescent="0.25">
      <c r="A2" s="30" t="str">
        <f>+TRIM('Reading Excel Example'!C7)</f>
        <v>Reading Example 1</v>
      </c>
      <c r="B2" s="30" t="str">
        <f>+TRIM('Reading Excel Example'!E7)</f>
        <v>Info 1</v>
      </c>
      <c r="C2" s="30">
        <f>+'Reading Excel Example'!F7</f>
        <v>100</v>
      </c>
      <c r="D2" s="30">
        <f>+'Reading Excel Example'!G7</f>
        <v>100</v>
      </c>
      <c r="E2" s="30">
        <f>+'Reading Excel Example'!H7</f>
        <v>100</v>
      </c>
      <c r="F2" s="30">
        <f>+'Reading Excel Example'!I7</f>
        <v>100</v>
      </c>
      <c r="G2" s="30">
        <f>+'Reading Excel Example'!J7</f>
        <v>100</v>
      </c>
      <c r="H2" s="30">
        <f>+'Reading Excel Example'!K7</f>
        <v>100</v>
      </c>
      <c r="I2" s="30">
        <f>+'Reading Excel Example'!L7</f>
        <v>100</v>
      </c>
      <c r="J2" s="30">
        <f>+'Reading Excel Example'!M7</f>
        <v>100</v>
      </c>
      <c r="K2" s="30">
        <f>+'Reading Excel Example'!N7</f>
        <v>100</v>
      </c>
      <c r="L2" s="30">
        <f>+'Reading Excel Example'!O7</f>
        <v>100</v>
      </c>
      <c r="M2" s="30">
        <f>+'Reading Excel Example'!P7</f>
        <v>100</v>
      </c>
      <c r="N2" s="30">
        <f>+'Reading Excel Example'!Q7</f>
        <v>100</v>
      </c>
      <c r="O2" s="30">
        <f>+'Reading Excel Example'!R7</f>
        <v>100</v>
      </c>
      <c r="P2" s="30">
        <f>+'Reading Excel Example'!S7</f>
        <v>100</v>
      </c>
      <c r="Q2" s="30">
        <f>+'Reading Excel Example'!T7</f>
        <v>100</v>
      </c>
      <c r="R2" s="30">
        <f>+'Reading Excel Example'!U7</f>
        <v>100</v>
      </c>
      <c r="S2" s="30">
        <f>+'Reading Excel Example'!V7</f>
        <v>100</v>
      </c>
      <c r="T2" s="30">
        <f>+'Reading Excel Example'!W7</f>
        <v>100</v>
      </c>
      <c r="U2" s="30">
        <f>+'Reading Excel Example'!X7</f>
        <v>100</v>
      </c>
      <c r="V2" s="30">
        <f>+'Reading Excel Example'!Y7</f>
        <v>100</v>
      </c>
      <c r="W2" s="30">
        <f>+'Reading Excel Example'!Z7</f>
        <v>100</v>
      </c>
      <c r="X2" s="30">
        <f>+'Reading Excel Example'!AA7</f>
        <v>100</v>
      </c>
      <c r="Y2" s="30">
        <f>+'Reading Excel Example'!AB7</f>
        <v>100</v>
      </c>
      <c r="Z2" s="30">
        <f>+'Reading Excel Example'!AC7</f>
        <v>100</v>
      </c>
      <c r="AA2" s="30">
        <f>+'Reading Excel Example'!AD7</f>
        <v>100</v>
      </c>
      <c r="AB2" s="30">
        <f>+'Reading Excel Example'!AE7</f>
        <v>100</v>
      </c>
      <c r="AC2" s="30">
        <f>+'Reading Excel Example'!AF7</f>
        <v>100</v>
      </c>
      <c r="AD2" s="30">
        <f>+'Reading Excel Example'!AG7</f>
        <v>100</v>
      </c>
      <c r="AE2" s="30">
        <f>+'Reading Excel Example'!AH7</f>
        <v>100</v>
      </c>
      <c r="AF2" s="30">
        <f>+'Reading Excel Example'!AI7</f>
        <v>100</v>
      </c>
      <c r="AG2" s="30">
        <f>+'Reading Excel Example'!AJ7</f>
        <v>100</v>
      </c>
      <c r="AH2" s="30">
        <f>+'Reading Excel Example'!AK7</f>
        <v>100</v>
      </c>
      <c r="AI2" s="30">
        <f>+'Reading Excel Example'!AL7</f>
        <v>100</v>
      </c>
      <c r="AJ2" s="30">
        <f>+'Reading Excel Example'!AM7</f>
        <v>100</v>
      </c>
      <c r="AK2" s="30">
        <f>+'Reading Excel Example'!AN7</f>
        <v>100</v>
      </c>
      <c r="AL2" s="30">
        <f>+'Reading Excel Example'!AO7</f>
        <v>100</v>
      </c>
      <c r="AM2" s="30">
        <f>+'Reading Excel Example'!AP7</f>
        <v>0</v>
      </c>
      <c r="AN2" s="30">
        <f>+'Reading Excel Example'!AQ7</f>
        <v>0</v>
      </c>
      <c r="AO2" s="30">
        <f>+'Reading Excel Example'!AR7</f>
        <v>0</v>
      </c>
      <c r="AP2" s="30">
        <f>+'Reading Excel Example'!AS7</f>
        <v>0</v>
      </c>
      <c r="AQ2" s="30">
        <f>+'Reading Excel Example'!AT7</f>
        <v>0</v>
      </c>
      <c r="AR2" s="30">
        <f>+'Reading Excel Example'!AU7</f>
        <v>0</v>
      </c>
      <c r="AS2" s="30">
        <f>+'Reading Excel Example'!AV7</f>
        <v>0</v>
      </c>
      <c r="AT2" s="30">
        <f>+'Reading Excel Example'!AW7</f>
        <v>0</v>
      </c>
      <c r="AU2" s="30">
        <f>+'Reading Excel Example'!AX7</f>
        <v>0</v>
      </c>
      <c r="AV2" s="30">
        <f>+'Reading Excel Example'!AY7</f>
        <v>0</v>
      </c>
      <c r="AW2" s="30">
        <f>+'Reading Excel Example'!AZ7</f>
        <v>0</v>
      </c>
      <c r="AX2" s="30">
        <f>+'Reading Excel Example'!BA7</f>
        <v>0</v>
      </c>
      <c r="AY2" s="30">
        <f>+'Reading Excel Example'!BB7</f>
        <v>0</v>
      </c>
      <c r="AZ2" s="30">
        <f>+'Reading Excel Example'!BC7</f>
        <v>0</v>
      </c>
      <c r="BA2" s="30">
        <f>+'Reading Excel Example'!BD7</f>
        <v>0</v>
      </c>
      <c r="BB2" s="30">
        <f>+'Reading Excel Example'!BE7</f>
        <v>0</v>
      </c>
      <c r="BC2" s="30">
        <f>+'Reading Excel Example'!BF7</f>
        <v>0</v>
      </c>
      <c r="BD2" s="30">
        <f>+'Reading Excel Example'!BG7</f>
        <v>0</v>
      </c>
      <c r="BE2" s="30">
        <f>+'Reading Excel Example'!BH7</f>
        <v>0</v>
      </c>
      <c r="BF2" s="30">
        <f>+'Reading Excel Example'!BI7</f>
        <v>0</v>
      </c>
      <c r="BG2" s="30">
        <f>+'Reading Excel Example'!BJ7</f>
        <v>0</v>
      </c>
      <c r="BH2" s="30">
        <f>+'Reading Excel Example'!BK7</f>
        <v>0</v>
      </c>
      <c r="BI2" s="30">
        <f>+'Reading Excel Example'!BL7</f>
        <v>0</v>
      </c>
      <c r="BJ2" s="30">
        <f>+'Reading Excel Example'!BM7</f>
        <v>0</v>
      </c>
      <c r="BK2" s="30">
        <f>+'Reading Excel Example'!BN7</f>
        <v>0</v>
      </c>
      <c r="BL2" s="30">
        <f>+'Reading Excel Example'!BO7</f>
        <v>0</v>
      </c>
      <c r="BM2" s="30">
        <f>+'Reading Excel Example'!BP7</f>
        <v>0</v>
      </c>
      <c r="BN2" s="30">
        <f>+'Reading Excel Example'!BQ7</f>
        <v>0</v>
      </c>
      <c r="BO2" s="30">
        <f>+'Reading Excel Example'!BR7</f>
        <v>0</v>
      </c>
      <c r="BP2" s="30">
        <f>+'Reading Excel Example'!BS7</f>
        <v>0</v>
      </c>
      <c r="BQ2" s="30">
        <f>+'Reading Excel Example'!BT7</f>
        <v>0</v>
      </c>
      <c r="BR2" s="30">
        <f>+'Reading Excel Example'!BU7</f>
        <v>0</v>
      </c>
      <c r="BS2" s="30">
        <f>+'Reading Excel Example'!BV7</f>
        <v>0</v>
      </c>
      <c r="BT2" s="30">
        <f>+'Reading Excel Example'!BW7</f>
        <v>0</v>
      </c>
      <c r="BU2" s="30">
        <f>+'Reading Excel Example'!BX7</f>
        <v>0</v>
      </c>
      <c r="BV2" s="30">
        <f>+'Reading Excel Example'!BY7</f>
        <v>0</v>
      </c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</row>
    <row r="3" spans="1:261" x14ac:dyDescent="0.25">
      <c r="A3" t="s">
        <v>15</v>
      </c>
      <c r="B3" t="s">
        <v>56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261" x14ac:dyDescent="0.25">
      <c r="A4" t="s">
        <v>16</v>
      </c>
      <c r="B4" t="s">
        <v>58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v>100</v>
      </c>
      <c r="L4">
        <v>100</v>
      </c>
      <c r="M4">
        <v>100</v>
      </c>
      <c r="N4">
        <v>100</v>
      </c>
      <c r="O4">
        <v>100</v>
      </c>
      <c r="P4">
        <v>100</v>
      </c>
      <c r="Q4">
        <v>100</v>
      </c>
      <c r="R4">
        <v>100</v>
      </c>
      <c r="S4">
        <v>100</v>
      </c>
      <c r="T4">
        <v>100</v>
      </c>
      <c r="U4">
        <v>100</v>
      </c>
      <c r="V4">
        <v>100</v>
      </c>
      <c r="W4">
        <v>100</v>
      </c>
      <c r="X4">
        <v>100</v>
      </c>
      <c r="Y4">
        <v>100</v>
      </c>
      <c r="Z4">
        <v>100</v>
      </c>
      <c r="AA4">
        <v>100</v>
      </c>
      <c r="AB4">
        <v>100</v>
      </c>
      <c r="AC4">
        <v>100</v>
      </c>
      <c r="AD4">
        <v>100</v>
      </c>
      <c r="AE4">
        <v>100</v>
      </c>
      <c r="AF4">
        <v>100</v>
      </c>
      <c r="AG4">
        <v>100</v>
      </c>
      <c r="AH4">
        <v>100</v>
      </c>
      <c r="AI4">
        <v>100</v>
      </c>
      <c r="AJ4">
        <v>100</v>
      </c>
      <c r="AK4">
        <v>100</v>
      </c>
      <c r="AL4">
        <v>100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</row>
    <row r="5" spans="1:261" x14ac:dyDescent="0.25">
      <c r="A5" t="s">
        <v>17</v>
      </c>
      <c r="B5" t="s">
        <v>59</v>
      </c>
      <c r="C5">
        <v>2156379.4222967639</v>
      </c>
      <c r="D5">
        <v>2156379.4222967648</v>
      </c>
      <c r="E5">
        <v>1001346.8991849215</v>
      </c>
      <c r="F5">
        <v>1001346.8991849215</v>
      </c>
      <c r="G5">
        <v>1001346.8991849215</v>
      </c>
      <c r="H5">
        <v>1001346.8991849215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</row>
    <row r="6" spans="1:261" x14ac:dyDescent="0.25">
      <c r="A6" t="s">
        <v>18</v>
      </c>
      <c r="B6" t="s">
        <v>57</v>
      </c>
      <c r="C6">
        <v>194074.14800670874</v>
      </c>
      <c r="D6">
        <v>194074.14800670883</v>
      </c>
      <c r="E6">
        <v>90121.220926642927</v>
      </c>
      <c r="F6">
        <v>90121.220926642927</v>
      </c>
      <c r="G6">
        <v>90121.220926642927</v>
      </c>
      <c r="H6">
        <v>90121.220926642927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</row>
    <row r="7" spans="1:261" x14ac:dyDescent="0.25">
      <c r="A7" t="s">
        <v>19</v>
      </c>
      <c r="B7" t="s">
        <v>93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</row>
    <row r="8" spans="1:261" x14ac:dyDescent="0.25">
      <c r="A8" t="s">
        <v>20</v>
      </c>
      <c r="B8" t="s">
        <v>60</v>
      </c>
      <c r="C8">
        <v>100</v>
      </c>
      <c r="D8">
        <v>100</v>
      </c>
      <c r="E8">
        <v>100</v>
      </c>
      <c r="F8">
        <v>100</v>
      </c>
      <c r="G8">
        <v>100</v>
      </c>
      <c r="H8">
        <v>100</v>
      </c>
      <c r="I8">
        <v>100</v>
      </c>
      <c r="J8">
        <v>100</v>
      </c>
      <c r="K8">
        <v>100</v>
      </c>
      <c r="L8">
        <v>100</v>
      </c>
      <c r="M8">
        <v>100</v>
      </c>
      <c r="N8">
        <v>100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</row>
    <row r="9" spans="1:261" x14ac:dyDescent="0.25">
      <c r="A9" t="s">
        <v>21</v>
      </c>
      <c r="B9" t="s">
        <v>61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</row>
    <row r="10" spans="1:261" x14ac:dyDescent="0.25">
      <c r="A10" t="s">
        <v>22</v>
      </c>
      <c r="B10" t="s">
        <v>62</v>
      </c>
      <c r="C10">
        <v>100</v>
      </c>
      <c r="D10">
        <v>100</v>
      </c>
      <c r="E10">
        <v>100</v>
      </c>
      <c r="F10">
        <v>100</v>
      </c>
      <c r="G10">
        <v>100</v>
      </c>
      <c r="H10">
        <v>100</v>
      </c>
      <c r="I10">
        <v>100</v>
      </c>
      <c r="J10">
        <v>100</v>
      </c>
      <c r="K10">
        <v>100</v>
      </c>
      <c r="L10">
        <v>100</v>
      </c>
      <c r="M10">
        <v>100</v>
      </c>
      <c r="N10">
        <v>100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</row>
    <row r="11" spans="1:261" x14ac:dyDescent="0.25">
      <c r="A11" t="s">
        <v>23</v>
      </c>
      <c r="B11" t="s">
        <v>63</v>
      </c>
      <c r="C11">
        <v>100</v>
      </c>
      <c r="D11">
        <v>100</v>
      </c>
      <c r="E11">
        <v>100</v>
      </c>
      <c r="F11">
        <v>100</v>
      </c>
      <c r="G11">
        <v>100</v>
      </c>
      <c r="H11">
        <v>100</v>
      </c>
      <c r="I11">
        <v>100</v>
      </c>
      <c r="J11">
        <v>100</v>
      </c>
      <c r="K11">
        <v>100</v>
      </c>
      <c r="L11">
        <v>100</v>
      </c>
      <c r="M11">
        <v>100</v>
      </c>
      <c r="N11">
        <v>100</v>
      </c>
      <c r="O11">
        <v>100</v>
      </c>
      <c r="P11">
        <v>100</v>
      </c>
      <c r="Q11">
        <v>100</v>
      </c>
      <c r="R11">
        <v>100</v>
      </c>
      <c r="S11">
        <v>100</v>
      </c>
      <c r="T11">
        <v>100</v>
      </c>
      <c r="U11">
        <v>100</v>
      </c>
      <c r="V11">
        <v>100</v>
      </c>
      <c r="W11">
        <v>100</v>
      </c>
      <c r="X11">
        <v>100</v>
      </c>
      <c r="Y11">
        <v>100</v>
      </c>
      <c r="Z11">
        <v>100</v>
      </c>
      <c r="AA11">
        <v>100</v>
      </c>
      <c r="AB11">
        <v>100</v>
      </c>
      <c r="AC11">
        <v>100</v>
      </c>
      <c r="AD11">
        <v>100</v>
      </c>
      <c r="AE11">
        <v>100</v>
      </c>
      <c r="AF11">
        <v>100</v>
      </c>
      <c r="AG11">
        <v>100</v>
      </c>
      <c r="AH11">
        <v>100</v>
      </c>
      <c r="AI11">
        <v>100</v>
      </c>
      <c r="AJ11">
        <v>100</v>
      </c>
      <c r="AK11">
        <v>100</v>
      </c>
      <c r="AL11">
        <v>100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</row>
    <row r="12" spans="1:261" x14ac:dyDescent="0.25">
      <c r="A12" t="s">
        <v>24</v>
      </c>
      <c r="B12" t="s">
        <v>64</v>
      </c>
      <c r="C12">
        <v>100</v>
      </c>
      <c r="D12">
        <v>100</v>
      </c>
      <c r="E12">
        <v>100</v>
      </c>
      <c r="F12">
        <v>100</v>
      </c>
      <c r="G12">
        <v>100</v>
      </c>
      <c r="H12">
        <v>100</v>
      </c>
      <c r="I12">
        <v>100</v>
      </c>
      <c r="J12">
        <v>100</v>
      </c>
      <c r="K12">
        <v>100</v>
      </c>
      <c r="L12">
        <v>100</v>
      </c>
      <c r="M12">
        <v>100</v>
      </c>
      <c r="N12">
        <v>100</v>
      </c>
      <c r="O12">
        <v>100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W12">
        <v>100</v>
      </c>
      <c r="X12">
        <v>100</v>
      </c>
      <c r="Y12">
        <v>100</v>
      </c>
      <c r="Z12">
        <v>100</v>
      </c>
      <c r="AA12">
        <v>100</v>
      </c>
      <c r="AB12">
        <v>100</v>
      </c>
      <c r="AC12">
        <v>100</v>
      </c>
      <c r="AD12">
        <v>100</v>
      </c>
      <c r="AE12">
        <v>100</v>
      </c>
      <c r="AF12">
        <v>100</v>
      </c>
      <c r="AG12">
        <v>100</v>
      </c>
      <c r="AH12">
        <v>100</v>
      </c>
      <c r="AI12">
        <v>100</v>
      </c>
      <c r="AJ12">
        <v>100</v>
      </c>
      <c r="AK12">
        <v>100</v>
      </c>
      <c r="AL12">
        <v>100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</row>
    <row r="13" spans="1:261" x14ac:dyDescent="0.25">
      <c r="A13" t="s">
        <v>25</v>
      </c>
      <c r="B13" t="s">
        <v>65</v>
      </c>
      <c r="C13">
        <v>100</v>
      </c>
      <c r="D13">
        <v>100</v>
      </c>
      <c r="E13">
        <v>100</v>
      </c>
      <c r="F13">
        <v>100</v>
      </c>
      <c r="G13">
        <v>100</v>
      </c>
      <c r="H13">
        <v>100</v>
      </c>
      <c r="I13">
        <v>100</v>
      </c>
      <c r="J13">
        <v>100</v>
      </c>
      <c r="K13">
        <v>100</v>
      </c>
      <c r="L13">
        <v>100</v>
      </c>
      <c r="M13">
        <v>100</v>
      </c>
      <c r="N13">
        <v>100</v>
      </c>
      <c r="O13">
        <v>100</v>
      </c>
      <c r="P13">
        <v>100</v>
      </c>
      <c r="Q13">
        <v>100</v>
      </c>
      <c r="R13">
        <v>100</v>
      </c>
      <c r="S13">
        <v>100</v>
      </c>
      <c r="T13">
        <v>100</v>
      </c>
      <c r="U13">
        <v>100</v>
      </c>
      <c r="V13">
        <v>100</v>
      </c>
      <c r="W13">
        <v>100</v>
      </c>
      <c r="X13">
        <v>100</v>
      </c>
      <c r="Y13">
        <v>100</v>
      </c>
      <c r="Z13">
        <v>100</v>
      </c>
      <c r="AA13">
        <v>100</v>
      </c>
      <c r="AB13">
        <v>100</v>
      </c>
      <c r="AC13">
        <v>100</v>
      </c>
      <c r="AD13">
        <v>100</v>
      </c>
      <c r="AE13">
        <v>100</v>
      </c>
      <c r="AF13">
        <v>100</v>
      </c>
      <c r="AG13">
        <v>100</v>
      </c>
      <c r="AH13">
        <v>100</v>
      </c>
      <c r="AI13">
        <v>100</v>
      </c>
      <c r="AJ13">
        <v>100</v>
      </c>
      <c r="AK13">
        <v>100</v>
      </c>
      <c r="AL13">
        <v>100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</row>
    <row r="14" spans="1:261" x14ac:dyDescent="0.25">
      <c r="A14" t="s">
        <v>26</v>
      </c>
      <c r="B14" t="s">
        <v>66</v>
      </c>
      <c r="C14">
        <v>100</v>
      </c>
      <c r="D14">
        <v>100</v>
      </c>
      <c r="E14">
        <v>100</v>
      </c>
      <c r="F14">
        <v>100</v>
      </c>
      <c r="G14">
        <v>100</v>
      </c>
      <c r="H14">
        <v>100</v>
      </c>
      <c r="I14">
        <v>100</v>
      </c>
      <c r="J14">
        <v>100</v>
      </c>
      <c r="K14">
        <v>100</v>
      </c>
      <c r="L14">
        <v>100</v>
      </c>
      <c r="M14">
        <v>100</v>
      </c>
      <c r="N14">
        <v>100</v>
      </c>
      <c r="O14">
        <v>100</v>
      </c>
      <c r="P14">
        <v>100</v>
      </c>
      <c r="Q14">
        <v>100</v>
      </c>
      <c r="R14">
        <v>100</v>
      </c>
      <c r="S14">
        <v>100</v>
      </c>
      <c r="T14">
        <v>100</v>
      </c>
      <c r="U14">
        <v>100</v>
      </c>
      <c r="V14">
        <v>100</v>
      </c>
      <c r="W14">
        <v>100</v>
      </c>
      <c r="X14">
        <v>100</v>
      </c>
      <c r="Y14">
        <v>100</v>
      </c>
      <c r="Z14">
        <v>100</v>
      </c>
      <c r="AA14">
        <v>100</v>
      </c>
      <c r="AB14">
        <v>100</v>
      </c>
      <c r="AC14">
        <v>100</v>
      </c>
      <c r="AD14">
        <v>100</v>
      </c>
      <c r="AE14">
        <v>100</v>
      </c>
      <c r="AF14">
        <v>100</v>
      </c>
      <c r="AG14">
        <v>100</v>
      </c>
      <c r="AH14">
        <v>100</v>
      </c>
      <c r="AI14">
        <v>100</v>
      </c>
      <c r="AJ14">
        <v>100</v>
      </c>
      <c r="AK14">
        <v>100</v>
      </c>
      <c r="AL14">
        <v>100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</row>
    <row r="15" spans="1:261" x14ac:dyDescent="0.25">
      <c r="A15" t="s">
        <v>27</v>
      </c>
      <c r="B15" t="s">
        <v>67</v>
      </c>
      <c r="C15">
        <v>100</v>
      </c>
      <c r="D15">
        <v>100</v>
      </c>
      <c r="E15">
        <v>100</v>
      </c>
      <c r="F15">
        <v>100</v>
      </c>
      <c r="G15">
        <v>100</v>
      </c>
      <c r="H15">
        <v>100</v>
      </c>
      <c r="I15">
        <v>100</v>
      </c>
      <c r="J15">
        <v>100</v>
      </c>
      <c r="K15">
        <v>100</v>
      </c>
      <c r="L15">
        <v>100</v>
      </c>
      <c r="M15">
        <v>100</v>
      </c>
      <c r="N15">
        <v>100</v>
      </c>
      <c r="O15">
        <v>100</v>
      </c>
      <c r="P15">
        <v>100</v>
      </c>
      <c r="Q15">
        <v>100</v>
      </c>
      <c r="R15">
        <v>100</v>
      </c>
      <c r="S15">
        <v>100</v>
      </c>
      <c r="T15">
        <v>100</v>
      </c>
      <c r="U15">
        <v>100</v>
      </c>
      <c r="V15">
        <v>100</v>
      </c>
      <c r="W15">
        <v>100</v>
      </c>
      <c r="X15">
        <v>100</v>
      </c>
      <c r="Y15">
        <v>100</v>
      </c>
      <c r="Z15">
        <v>100</v>
      </c>
      <c r="AA15">
        <v>100</v>
      </c>
      <c r="AB15">
        <v>100</v>
      </c>
      <c r="AC15">
        <v>100</v>
      </c>
      <c r="AD15">
        <v>100</v>
      </c>
      <c r="AE15">
        <v>100</v>
      </c>
      <c r="AF15">
        <v>100</v>
      </c>
      <c r="AG15">
        <v>100</v>
      </c>
      <c r="AH15">
        <v>100</v>
      </c>
      <c r="AI15">
        <v>100</v>
      </c>
      <c r="AJ15">
        <v>100</v>
      </c>
      <c r="AK15">
        <v>100</v>
      </c>
      <c r="AL15">
        <v>100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</row>
    <row r="16" spans="1:261" x14ac:dyDescent="0.25">
      <c r="A16" t="s">
        <v>28</v>
      </c>
      <c r="B16" t="s">
        <v>68</v>
      </c>
      <c r="C16">
        <v>100</v>
      </c>
      <c r="D16">
        <v>100</v>
      </c>
      <c r="E16">
        <v>100</v>
      </c>
      <c r="F16">
        <v>100</v>
      </c>
      <c r="G16">
        <v>100</v>
      </c>
      <c r="H16">
        <v>100</v>
      </c>
      <c r="I16">
        <v>100</v>
      </c>
      <c r="J16">
        <v>100</v>
      </c>
      <c r="K16">
        <v>100</v>
      </c>
      <c r="L16">
        <v>100</v>
      </c>
      <c r="M16">
        <v>100</v>
      </c>
      <c r="N16">
        <v>100</v>
      </c>
      <c r="O16">
        <v>100</v>
      </c>
      <c r="P16">
        <v>100</v>
      </c>
      <c r="Q16">
        <v>100</v>
      </c>
      <c r="R16">
        <v>100</v>
      </c>
      <c r="S16">
        <v>100</v>
      </c>
      <c r="T16">
        <v>100</v>
      </c>
      <c r="U16">
        <v>100</v>
      </c>
      <c r="V16">
        <v>100</v>
      </c>
      <c r="W16">
        <v>100</v>
      </c>
      <c r="X16">
        <v>100</v>
      </c>
      <c r="Y16">
        <v>100</v>
      </c>
      <c r="Z16">
        <v>100</v>
      </c>
      <c r="AA16">
        <v>100</v>
      </c>
      <c r="AB16">
        <v>100</v>
      </c>
      <c r="AC16">
        <v>100</v>
      </c>
      <c r="AD16">
        <v>100</v>
      </c>
      <c r="AE16">
        <v>100</v>
      </c>
      <c r="AF16">
        <v>100</v>
      </c>
      <c r="AG16">
        <v>100</v>
      </c>
      <c r="AH16">
        <v>100</v>
      </c>
      <c r="AI16">
        <v>100</v>
      </c>
      <c r="AJ16">
        <v>100</v>
      </c>
      <c r="AK16">
        <v>100</v>
      </c>
      <c r="AL16">
        <v>100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</row>
    <row r="17" spans="1:74" x14ac:dyDescent="0.25">
      <c r="A17" t="s">
        <v>29</v>
      </c>
      <c r="B17" t="s">
        <v>69</v>
      </c>
      <c r="C17">
        <v>15864642.828275012</v>
      </c>
      <c r="D17">
        <v>11331887.734482147</v>
      </c>
      <c r="E17">
        <v>12121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8" spans="1:74" x14ac:dyDescent="0.25">
      <c r="A18" t="s">
        <v>30</v>
      </c>
      <c r="B18" t="s">
        <v>70</v>
      </c>
      <c r="C18">
        <v>531994.06540000008</v>
      </c>
      <c r="D18">
        <v>379995.76099999988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</row>
    <row r="19" spans="1:74" x14ac:dyDescent="0.25">
      <c r="A19" t="s">
        <v>31</v>
      </c>
      <c r="B19" t="s">
        <v>71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</row>
    <row r="20" spans="1:74" x14ac:dyDescent="0.25">
      <c r="A20" t="s">
        <v>32</v>
      </c>
      <c r="B20" t="s">
        <v>72</v>
      </c>
      <c r="C20">
        <v>6503907.1598092681</v>
      </c>
      <c r="D20">
        <v>6503907.1598092681</v>
      </c>
      <c r="E20">
        <v>6503907.1598092681</v>
      </c>
      <c r="F20">
        <v>6503907.1598092681</v>
      </c>
      <c r="G20">
        <v>6503907.1598092681</v>
      </c>
      <c r="H20">
        <v>2167969.0532697565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</row>
    <row r="21" spans="1:74" x14ac:dyDescent="0.25">
      <c r="A21" t="s">
        <v>33</v>
      </c>
      <c r="B21" t="s">
        <v>73</v>
      </c>
      <c r="C21">
        <v>1416251.743674</v>
      </c>
      <c r="D21">
        <v>1416251.743674</v>
      </c>
      <c r="E21">
        <v>1416251.743674</v>
      </c>
      <c r="F21">
        <v>1416251.743674</v>
      </c>
      <c r="G21">
        <v>1416251.743674</v>
      </c>
      <c r="H21">
        <v>472083.91455800005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</row>
    <row r="22" spans="1:74" x14ac:dyDescent="0.25">
      <c r="A22" t="s">
        <v>34</v>
      </c>
      <c r="B22" t="s">
        <v>74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</row>
    <row r="23" spans="1:74" x14ac:dyDescent="0.25">
      <c r="A23" t="s">
        <v>35</v>
      </c>
      <c r="B23" t="s">
        <v>75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</row>
    <row r="24" spans="1:74" x14ac:dyDescent="0.25">
      <c r="A24" t="s">
        <v>36</v>
      </c>
      <c r="B24" t="s">
        <v>76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7893967.5290872864</v>
      </c>
      <c r="T24">
        <v>13814443.175902752</v>
      </c>
      <c r="U24">
        <v>17761426.940446392</v>
      </c>
      <c r="V24">
        <v>17761426.940446392</v>
      </c>
      <c r="W24">
        <v>17761426.940446392</v>
      </c>
      <c r="X24">
        <v>17761426.940446392</v>
      </c>
      <c r="Y24">
        <v>17761426.940446392</v>
      </c>
      <c r="Z24">
        <v>17761426.940446392</v>
      </c>
      <c r="AA24">
        <v>17761426.940446392</v>
      </c>
      <c r="AB24">
        <v>17761426.940446392</v>
      </c>
      <c r="AC24">
        <v>17761426.940446392</v>
      </c>
      <c r="AD24">
        <v>17761426.940446392</v>
      </c>
      <c r="AE24">
        <v>17761426.940446392</v>
      </c>
      <c r="AF24">
        <v>17761426.940446392</v>
      </c>
      <c r="AG24">
        <v>17761426.940446392</v>
      </c>
      <c r="AH24">
        <v>17761426.940446392</v>
      </c>
      <c r="AI24">
        <v>17761426.940446392</v>
      </c>
      <c r="AJ24">
        <v>17761426.940446392</v>
      </c>
      <c r="AK24">
        <v>17761426.940446392</v>
      </c>
      <c r="AL24">
        <v>17761426.940446392</v>
      </c>
      <c r="AM24">
        <v>17761426.940446392</v>
      </c>
      <c r="AN24">
        <v>17761426.940446392</v>
      </c>
      <c r="AO24">
        <v>17761426.940446392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</row>
    <row r="25" spans="1:74" x14ac:dyDescent="0.25">
      <c r="A25" t="s">
        <v>37</v>
      </c>
      <c r="B25" t="s">
        <v>77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</row>
    <row r="26" spans="1:74" x14ac:dyDescent="0.25">
      <c r="A26" t="s">
        <v>38</v>
      </c>
      <c r="B26" t="s">
        <v>78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</row>
    <row r="27" spans="1:74" x14ac:dyDescent="0.25">
      <c r="A27" t="s">
        <v>39</v>
      </c>
      <c r="B27" t="s">
        <v>79</v>
      </c>
      <c r="C27">
        <v>1927970</v>
      </c>
      <c r="D27">
        <v>1927970</v>
      </c>
      <c r="E27">
        <v>3855940</v>
      </c>
      <c r="F27">
        <v>3855940</v>
      </c>
      <c r="G27">
        <v>3855940</v>
      </c>
      <c r="H27">
        <v>3855940</v>
      </c>
      <c r="I27">
        <v>3855940</v>
      </c>
      <c r="J27">
        <v>3855940</v>
      </c>
      <c r="K27">
        <v>3855940</v>
      </c>
      <c r="L27">
        <v>3855940</v>
      </c>
      <c r="M27">
        <v>1927970</v>
      </c>
      <c r="N27">
        <v>1927970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</row>
    <row r="28" spans="1:74" x14ac:dyDescent="0.25">
      <c r="A28" t="s">
        <v>40</v>
      </c>
      <c r="B28" t="s">
        <v>80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</row>
    <row r="29" spans="1:74" x14ac:dyDescent="0.25">
      <c r="A29" t="s">
        <v>41</v>
      </c>
      <c r="B29" t="s">
        <v>81</v>
      </c>
      <c r="C29">
        <v>35000</v>
      </c>
      <c r="D29">
        <v>35000</v>
      </c>
      <c r="E29">
        <v>70000</v>
      </c>
      <c r="F29">
        <v>70000</v>
      </c>
      <c r="G29">
        <v>70000</v>
      </c>
      <c r="H29">
        <v>70000</v>
      </c>
      <c r="I29">
        <v>70000</v>
      </c>
      <c r="J29">
        <v>70000</v>
      </c>
      <c r="K29">
        <v>70000</v>
      </c>
      <c r="L29">
        <v>70000</v>
      </c>
      <c r="M29">
        <v>35000</v>
      </c>
      <c r="N29">
        <v>35000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</row>
    <row r="30" spans="1:74" x14ac:dyDescent="0.25">
      <c r="A30" t="s">
        <v>42</v>
      </c>
      <c r="B30" t="s">
        <v>82</v>
      </c>
      <c r="C30">
        <v>0</v>
      </c>
      <c r="D30">
        <v>0</v>
      </c>
      <c r="E30">
        <v>1600000</v>
      </c>
      <c r="F30">
        <v>1600000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</row>
    <row r="31" spans="1:74" x14ac:dyDescent="0.25">
      <c r="A31" t="s">
        <v>43</v>
      </c>
      <c r="B31" t="s">
        <v>83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</row>
    <row r="32" spans="1:74" x14ac:dyDescent="0.25">
      <c r="A32" t="s">
        <v>44</v>
      </c>
      <c r="B32" t="s">
        <v>84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</row>
    <row r="33" spans="1:74" x14ac:dyDescent="0.25">
      <c r="A33" t="s">
        <v>45</v>
      </c>
      <c r="B33" t="s">
        <v>85</v>
      </c>
      <c r="C33">
        <v>0</v>
      </c>
      <c r="D33">
        <v>0</v>
      </c>
      <c r="E33">
        <v>300000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</row>
    <row r="34" spans="1:74" x14ac:dyDescent="0.25">
      <c r="A34" t="s">
        <v>46</v>
      </c>
      <c r="B34" t="s">
        <v>86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</row>
    <row r="35" spans="1:74" x14ac:dyDescent="0.25">
      <c r="A35" t="s">
        <v>47</v>
      </c>
      <c r="B35" t="s">
        <v>87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</row>
    <row r="36" spans="1:74" x14ac:dyDescent="0.25">
      <c r="A36" t="s">
        <v>48</v>
      </c>
      <c r="B36" t="s">
        <v>88</v>
      </c>
      <c r="C36">
        <v>2312551.9386868691</v>
      </c>
      <c r="D36">
        <v>2312551.9386868691</v>
      </c>
      <c r="E36">
        <v>2312551.9386868691</v>
      </c>
      <c r="F36">
        <v>2312551.9386868691</v>
      </c>
      <c r="G36">
        <v>2312551.9386868691</v>
      </c>
      <c r="H36">
        <v>2312551.9386868691</v>
      </c>
      <c r="I36">
        <v>1734413.9540151532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</row>
    <row r="37" spans="1:74" x14ac:dyDescent="0.25">
      <c r="A37" t="s">
        <v>49</v>
      </c>
      <c r="B37" t="s">
        <v>89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</row>
    <row r="38" spans="1:74" x14ac:dyDescent="0.25">
      <c r="A38" t="s">
        <v>50</v>
      </c>
      <c r="B38" t="s">
        <v>90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</row>
    <row r="39" spans="1:74" x14ac:dyDescent="0.25">
      <c r="A39" t="s">
        <v>13</v>
      </c>
      <c r="B39" t="s">
        <v>13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Front Page</vt:lpstr>
      <vt:lpstr>Front_page</vt:lpstr>
      <vt:lpstr>Reading Excel Example</vt:lpstr>
      <vt:lpstr>Reading_Exce_example</vt:lpstr>
      <vt:lpstr>Front_page</vt:lpstr>
      <vt:lpstr>Reading_Exce_example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Gino Pcnovix</cp:lastModifiedBy>
  <dcterms:created xsi:type="dcterms:W3CDTF">2017-04-21T19:30:19Z</dcterms:created>
  <dcterms:modified xsi:type="dcterms:W3CDTF">2019-03-14T21:32:29Z</dcterms:modified>
</cp:coreProperties>
</file>