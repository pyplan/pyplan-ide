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Buffer\Basic Model\Pyplan Template\"/>
    </mc:Choice>
  </mc:AlternateContent>
  <xr:revisionPtr revIDLastSave="0" documentId="13_ncr:1_{A67F9BC4-0C5F-4E5F-8716-B84906127B79}" xr6:coauthVersionLast="45" xr6:coauthVersionMax="45" xr10:uidLastSave="{00000000-0000-0000-0000-000000000000}"/>
  <bookViews>
    <workbookView xWindow="-28920" yWindow="-2070" windowWidth="29040" windowHeight="15840" tabRatio="830" xr2:uid="{00000000-000D-0000-FFFF-FFFF00000000}"/>
  </bookViews>
  <sheets>
    <sheet name="Front Page" sheetId="1" r:id="rId1"/>
    <sheet name="Front_page" sheetId="2" state="hidden" r:id="rId2"/>
    <sheet name="Clients Projection" sheetId="3" r:id="rId3"/>
    <sheet name="ppa_clients_proj" sheetId="4" state="hidden" r:id="rId4"/>
    <sheet name="Other data" sheetId="5" r:id="rId5"/>
    <sheet name="ppa_other_data" sheetId="6" state="hidden" r:id="rId6"/>
  </sheets>
  <functionGroups builtInGroupCount="19"/>
  <definedNames>
    <definedName name="Front_page">Front_page!$A$1:$C$1</definedName>
    <definedName name="ppa_clients_proj">ppa_clients_proj!$A$1:$CH$77</definedName>
    <definedName name="ppa_other_data">ppa_other_data!$A$1:$C$86</definedName>
    <definedName name="solver_lin" hidden="1">0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2" l="1"/>
  <c r="B1" i="2"/>
  <c r="A2" i="6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D8" i="5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F8" i="5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F45" i="5" s="1"/>
  <c r="F46" i="5" s="1"/>
  <c r="F47" i="5" s="1"/>
  <c r="F48" i="5" s="1"/>
  <c r="F49" i="5" s="1"/>
  <c r="F50" i="5" s="1"/>
  <c r="F51" i="5" s="1"/>
  <c r="F52" i="5" s="1"/>
  <c r="F53" i="5" s="1"/>
  <c r="F54" i="5" s="1"/>
  <c r="F55" i="5" s="1"/>
  <c r="F56" i="5" s="1"/>
  <c r="F57" i="5" s="1"/>
  <c r="F58" i="5" s="1"/>
  <c r="F59" i="5" s="1"/>
  <c r="F60" i="5" s="1"/>
  <c r="F61" i="5" s="1"/>
  <c r="F62" i="5" s="1"/>
  <c r="F63" i="5" s="1"/>
  <c r="F64" i="5" s="1"/>
  <c r="F65" i="5" s="1"/>
  <c r="F66" i="5" s="1"/>
  <c r="F67" i="5" s="1"/>
  <c r="F68" i="5" s="1"/>
  <c r="F69" i="5" s="1"/>
  <c r="F70" i="5" s="1"/>
  <c r="F71" i="5" s="1"/>
  <c r="F72" i="5" s="1"/>
  <c r="F73" i="5" s="1"/>
  <c r="F74" i="5" s="1"/>
  <c r="F75" i="5" s="1"/>
  <c r="F76" i="5" s="1"/>
  <c r="F77" i="5" s="1"/>
  <c r="F78" i="5" s="1"/>
  <c r="F79" i="5" s="1"/>
  <c r="F80" i="5" s="1"/>
  <c r="F81" i="5" s="1"/>
  <c r="F82" i="5" s="1"/>
  <c r="F83" i="5" s="1"/>
  <c r="F84" i="5" s="1"/>
  <c r="F85" i="5" s="1"/>
  <c r="F86" i="5" s="1"/>
  <c r="F87" i="5" s="1"/>
  <c r="F88" i="5" s="1"/>
  <c r="F89" i="5" s="1"/>
  <c r="F90" i="5" s="1"/>
  <c r="F91" i="5" s="1"/>
  <c r="C2" i="6" l="1"/>
  <c r="A2" i="4" l="1"/>
  <c r="B2" i="6"/>
  <c r="A2" i="5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B2" i="2"/>
  <c r="C2" i="2" s="1"/>
  <c r="A3" i="3" l="1"/>
  <c r="A2" i="3"/>
  <c r="A3" i="5"/>
</calcChain>
</file>

<file path=xl/sharedStrings.xml><?xml version="1.0" encoding="utf-8"?>
<sst xmlns="http://schemas.openxmlformats.org/spreadsheetml/2006/main" count="424" uniqueCount="273">
  <si>
    <t>Sheets coloured in red are used for input data.</t>
  </si>
  <si>
    <t>Sheets in green are used to comunicate with EXCEL (These are hidden and shown by the bottoms under this line)</t>
  </si>
  <si>
    <t>Template Information Area (Autommatically generated when saving)</t>
  </si>
  <si>
    <t>Version</t>
  </si>
  <si>
    <t>Key</t>
  </si>
  <si>
    <t>Saving user</t>
  </si>
  <si>
    <t>Saving date</t>
  </si>
  <si>
    <t>Saving time</t>
  </si>
  <si>
    <t>Filename</t>
  </si>
  <si>
    <t>FilePath</t>
  </si>
  <si>
    <t>Links Info</t>
  </si>
  <si>
    <t>Current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</si>
  <si>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</si>
  <si>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</si>
  <si>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</si>
  <si>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</si>
  <si>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</si>
  <si>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</si>
  <si>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</si>
  <si>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</si>
  <si>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</si>
  <si>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</si>
  <si>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</si>
  <si>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</si>
  <si>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</si>
  <si>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</si>
  <si>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</si>
  <si>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</si>
  <si>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</si>
  <si>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</si>
  <si>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</si>
  <si>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</si>
  <si>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</si>
  <si>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</si>
  <si>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</si>
  <si>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</si>
  <si>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</si>
  <si>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</si>
  <si>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</si>
  <si>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</si>
  <si>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</si>
  <si>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</si>
  <si>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</si>
  <si>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</si>
  <si>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</si>
  <si>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</si>
  <si>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</si>
  <si>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</si>
  <si>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</si>
  <si>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</si>
  <si>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</si>
  <si>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</si>
  <si>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</si>
  <si>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</si>
  <si>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</si>
  <si>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</si>
  <si>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</si>
  <si>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</si>
  <si>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</si>
  <si>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</si>
  <si>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</si>
  <si>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</si>
  <si>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</si>
  <si>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</si>
  <si>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</si>
  <si>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</si>
  <si>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</si>
  <si>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</si>
  <si>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</si>
  <si>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</si>
  <si>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</si>
  <si>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</si>
  <si>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</si>
  <si>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</si>
  <si>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</si>
  <si>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</si>
  <si>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</si>
  <si>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</si>
  <si>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</si>
  <si>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</si>
  <si>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</si>
  <si>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</si>
  <si>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</si>
  <si>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</si>
  <si>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</si>
  <si>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</si>
  <si>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</si>
  <si>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</si>
  <si>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</si>
  <si>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</si>
  <si>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</si>
  <si>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</si>
  <si>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</si>
  <si>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</si>
  <si>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</si>
  <si>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</si>
  <si>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</si>
  <si>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Time</t>
  </si>
  <si>
    <t>2019.01</t>
  </si>
  <si>
    <t>2019.02</t>
  </si>
  <si>
    <t>2019.03</t>
  </si>
  <si>
    <t>2019.04</t>
  </si>
  <si>
    <t>2019.05</t>
  </si>
  <si>
    <t>2019.06</t>
  </si>
  <si>
    <t>2019.07</t>
  </si>
  <si>
    <t>2019.08</t>
  </si>
  <si>
    <t>2019.09</t>
  </si>
  <si>
    <t>2019.10</t>
  </si>
  <si>
    <t>2019.11</t>
  </si>
  <si>
    <t>2019.12</t>
  </si>
  <si>
    <t>2020.01</t>
  </si>
  <si>
    <t>2020.02</t>
  </si>
  <si>
    <t>2020.03</t>
  </si>
  <si>
    <t>2020.04</t>
  </si>
  <si>
    <t>2020.05</t>
  </si>
  <si>
    <t>2020.06</t>
  </si>
  <si>
    <t>2020.07</t>
  </si>
  <si>
    <t>2020.08</t>
  </si>
  <si>
    <t>2020.09</t>
  </si>
  <si>
    <t>2020.10</t>
  </si>
  <si>
    <t>2020.11</t>
  </si>
  <si>
    <t>2020.12</t>
  </si>
  <si>
    <t>2021.01</t>
  </si>
  <si>
    <t>2021.02</t>
  </si>
  <si>
    <t>2021.03</t>
  </si>
  <si>
    <t>2021.04</t>
  </si>
  <si>
    <t>2021.05</t>
  </si>
  <si>
    <t>2021.06</t>
  </si>
  <si>
    <t>2021.07</t>
  </si>
  <si>
    <t>2021.08</t>
  </si>
  <si>
    <t>2021.09</t>
  </si>
  <si>
    <t>2021.10</t>
  </si>
  <si>
    <t>2021.11</t>
  </si>
  <si>
    <t>2021.12</t>
  </si>
  <si>
    <t>2022.01</t>
  </si>
  <si>
    <t>2022.02</t>
  </si>
  <si>
    <t>2022.03</t>
  </si>
  <si>
    <t>2022.04</t>
  </si>
  <si>
    <t>2022.05</t>
  </si>
  <si>
    <t>2022.06</t>
  </si>
  <si>
    <t>2022.07</t>
  </si>
  <si>
    <t>2022.08</t>
  </si>
  <si>
    <t>2022.09</t>
  </si>
  <si>
    <t>2022.10</t>
  </si>
  <si>
    <t>2022.11</t>
  </si>
  <si>
    <t>2022.12</t>
  </si>
  <si>
    <t>2023.01</t>
  </si>
  <si>
    <t>2023.02</t>
  </si>
  <si>
    <t>2023.03</t>
  </si>
  <si>
    <t>2023.04</t>
  </si>
  <si>
    <t>2023.05</t>
  </si>
  <si>
    <t>2023.06</t>
  </si>
  <si>
    <t>2023.07</t>
  </si>
  <si>
    <t>2023.08</t>
  </si>
  <si>
    <t>2023.09</t>
  </si>
  <si>
    <t>2023.10</t>
  </si>
  <si>
    <t>2023.11</t>
  </si>
  <si>
    <t>2023.12</t>
  </si>
  <si>
    <t>2024.01</t>
  </si>
  <si>
    <t>2024.02</t>
  </si>
  <si>
    <t>2024.03</t>
  </si>
  <si>
    <t>2024.04</t>
  </si>
  <si>
    <t>2024.05</t>
  </si>
  <si>
    <t>2024.06</t>
  </si>
  <si>
    <t>2024.07</t>
  </si>
  <si>
    <t>2024.08</t>
  </si>
  <si>
    <t>2024.09</t>
  </si>
  <si>
    <t>2024.10</t>
  </si>
  <si>
    <t>2024.11</t>
  </si>
  <si>
    <t>2024.12</t>
  </si>
  <si>
    <t>2025.01</t>
  </si>
  <si>
    <t>2025.02</t>
  </si>
  <si>
    <t>2025.03</t>
  </si>
  <si>
    <t>2025.04</t>
  </si>
  <si>
    <t>2025.05</t>
  </si>
  <si>
    <t>2025.06</t>
  </si>
  <si>
    <t>2025.07</t>
  </si>
  <si>
    <t>2025.08</t>
  </si>
  <si>
    <t>2025.09</t>
  </si>
  <si>
    <t>2025.10</t>
  </si>
  <si>
    <t>2025.11</t>
  </si>
  <si>
    <t>2025.12</t>
  </si>
  <si>
    <t>totaltime</t>
  </si>
  <si>
    <t>Project</t>
  </si>
  <si>
    <t>Project 1</t>
  </si>
  <si>
    <t>Project 2</t>
  </si>
  <si>
    <t>Project 3</t>
  </si>
  <si>
    <t>Project 4</t>
  </si>
  <si>
    <t>Project 5</t>
  </si>
  <si>
    <t>Project 6</t>
  </si>
  <si>
    <t>Project 7</t>
  </si>
  <si>
    <t>Project 8</t>
  </si>
  <si>
    <t>Project 9</t>
  </si>
  <si>
    <t>Project 10</t>
  </si>
  <si>
    <t>Project 11</t>
  </si>
  <si>
    <t>Project 12</t>
  </si>
  <si>
    <t>Project 13</t>
  </si>
  <si>
    <t>Project 14</t>
  </si>
  <si>
    <t>Project 15</t>
  </si>
  <si>
    <t>Project 16</t>
  </si>
  <si>
    <t>Project 17</t>
  </si>
  <si>
    <t>Project 18</t>
  </si>
  <si>
    <t>Project 19</t>
  </si>
  <si>
    <t>Project 20</t>
  </si>
  <si>
    <t>Project 21</t>
  </si>
  <si>
    <t>Project 22</t>
  </si>
  <si>
    <t>Project 23</t>
  </si>
  <si>
    <t>Project 24</t>
  </si>
  <si>
    <t>Project 25</t>
  </si>
  <si>
    <t>Project 26</t>
  </si>
  <si>
    <t>Project 27</t>
  </si>
  <si>
    <t>Project 28</t>
  </si>
  <si>
    <t>Project 29</t>
  </si>
  <si>
    <t>Project 30</t>
  </si>
  <si>
    <t>Project 31</t>
  </si>
  <si>
    <t>Project 32</t>
  </si>
  <si>
    <t>Project 33</t>
  </si>
  <si>
    <t>Project 34</t>
  </si>
  <si>
    <t>Project 35</t>
  </si>
  <si>
    <t>Project 36</t>
  </si>
  <si>
    <t>Project 37</t>
  </si>
  <si>
    <t>Project 38</t>
  </si>
  <si>
    <t>Project 39</t>
  </si>
  <si>
    <t>Project 40</t>
  </si>
  <si>
    <t>Project 41</t>
  </si>
  <si>
    <t>Project 42</t>
  </si>
  <si>
    <t>Project 43</t>
  </si>
  <si>
    <t>Project 44</t>
  </si>
  <si>
    <t>Project 45</t>
  </si>
  <si>
    <t>Project 46</t>
  </si>
  <si>
    <t>Project 47</t>
  </si>
  <si>
    <t>Project 48</t>
  </si>
  <si>
    <t>Project 49</t>
  </si>
  <si>
    <t>Project 50</t>
  </si>
  <si>
    <t>Project 51</t>
  </si>
  <si>
    <t>Project 52</t>
  </si>
  <si>
    <t>Project 53</t>
  </si>
  <si>
    <t>Project 54</t>
  </si>
  <si>
    <t>Project 55</t>
  </si>
  <si>
    <t>Project 56</t>
  </si>
  <si>
    <t>Project 57</t>
  </si>
  <si>
    <t>Project 58</t>
  </si>
  <si>
    <t>Project 59</t>
  </si>
  <si>
    <t>Project 60</t>
  </si>
  <si>
    <t>Project 61</t>
  </si>
  <si>
    <t>Project 62</t>
  </si>
  <si>
    <t>Project 63</t>
  </si>
  <si>
    <t>Project 64</t>
  </si>
  <si>
    <t>Project 65</t>
  </si>
  <si>
    <t>Project 66</t>
  </si>
  <si>
    <t>Project 67</t>
  </si>
  <si>
    <t>Project 68</t>
  </si>
  <si>
    <t>Project 69</t>
  </si>
  <si>
    <t>Project 70</t>
  </si>
  <si>
    <t>Project 71</t>
  </si>
  <si>
    <t>Project 72</t>
  </si>
  <si>
    <t>Project 73</t>
  </si>
  <si>
    <t>Project 74</t>
  </si>
  <si>
    <t>Project 75</t>
  </si>
  <si>
    <t>Project 76</t>
  </si>
  <si>
    <t>Clients</t>
  </si>
  <si>
    <t>Units</t>
  </si>
  <si>
    <t>User</t>
  </si>
  <si>
    <t>Clients per Project</t>
  </si>
  <si>
    <t>Other Data</t>
  </si>
  <si>
    <t>US$/Euro</t>
  </si>
  <si>
    <t>Rate Projection</t>
  </si>
  <si>
    <t>Pyplan Template.xlsm</t>
  </si>
  <si>
    <t>C:\Buffer\Basic Model\Pyplan Template</t>
  </si>
  <si>
    <t>rate_projection</t>
  </si>
  <si>
    <t>uss_euro</t>
  </si>
  <si>
    <t>Pyplan Template</t>
  </si>
  <si>
    <t>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</si>
</sst>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.00_);_(* \(#,##0.00\);_(* &quot;-&quot;??_);_(@_)"/>
    <numFmt numFmtId="165" formatCode="hh:mm:ss;@"/>
  </numFmts>
  <fonts count="16" x14ac:knownFonts="1">
    <font>
      <sz val="10"/>
      <name val="Arial"/>
    </font>
    <font>
      <b/>
      <sz val="11"/>
      <color theme="1"/>
      <name val="Calibri"/>
      <family val="2"/>
      <scheme val="minor"/>
    </font>
    <font>
      <b/>
      <sz val="16"/>
      <color theme="0"/>
      <name val="Arial"/>
      <family val="2"/>
    </font>
    <font>
      <i/>
      <sz val="10"/>
      <color theme="0"/>
      <name val="Arial"/>
      <family val="2"/>
    </font>
    <font>
      <i/>
      <sz val="10"/>
      <color rgb="FF002060"/>
      <name val="Arial"/>
      <family val="2"/>
    </font>
    <font>
      <b/>
      <sz val="12"/>
      <color rgb="FF002060"/>
      <name val="Arial"/>
      <family val="2"/>
    </font>
    <font>
      <b/>
      <sz val="10"/>
      <color rgb="FF00206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rgb="FF00B050"/>
      <name val="Calibri"/>
      <family val="2"/>
    </font>
    <font>
      <b/>
      <sz val="14"/>
      <color theme="0"/>
      <name val="Arial"/>
      <family val="2"/>
    </font>
    <font>
      <sz val="11"/>
      <color theme="9" tint="-0.249977111117893"/>
      <name val="Calibri"/>
      <family val="2"/>
    </font>
    <font>
      <b/>
      <sz val="12"/>
      <color theme="1"/>
      <name val="Arial"/>
      <family val="2"/>
    </font>
    <font>
      <b/>
      <sz val="11"/>
      <color rgb="FF002060"/>
      <name val="Calibri"/>
      <family val="2"/>
      <scheme val="minor"/>
    </font>
    <font>
      <sz val="8"/>
      <name val="Arial"/>
    </font>
  </fonts>
  <fills count="1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  <fill>
      <gradientFill degree="90">
        <stop position="0">
          <color theme="0"/>
        </stop>
        <stop position="1">
          <color rgb="FF89C54F"/>
        </stop>
      </gradientFill>
    </fill>
    <fill>
      <gradientFill>
        <stop position="0">
          <color theme="0"/>
        </stop>
        <stop position="1">
          <color rgb="FF89C54F"/>
        </stop>
      </gradientFill>
    </fill>
    <fill>
      <gradientFill degree="180">
        <stop position="0">
          <color theme="0"/>
        </stop>
        <stop position="1">
          <color rgb="FF89C54F"/>
        </stop>
      </gradientFill>
    </fill>
    <fill>
      <patternFill patternType="solid">
        <fgColor rgb="FF0D6CB3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180">
        <stop position="0">
          <color theme="0"/>
        </stop>
        <stop position="1">
          <color theme="9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gradientFill degree="270">
        <stop position="0">
          <color theme="0"/>
        </stop>
        <stop position="1">
          <color rgb="FF89C54F"/>
        </stop>
      </gradient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9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65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4" fillId="3" borderId="0" xfId="0" applyFont="1" applyFill="1" applyAlignment="1" applyProtection="1">
      <alignment vertical="top"/>
      <protection locked="0"/>
    </xf>
    <xf numFmtId="0" fontId="0" fillId="3" borderId="0" xfId="0" applyFill="1" applyAlignment="1" applyProtection="1">
      <alignment vertical="top"/>
      <protection locked="0"/>
    </xf>
    <xf numFmtId="0" fontId="5" fillId="4" borderId="1" xfId="0" applyFont="1" applyFill="1" applyBorder="1"/>
    <xf numFmtId="0" fontId="5" fillId="4" borderId="2" xfId="0" applyFont="1" applyFill="1" applyBorder="1"/>
    <xf numFmtId="0" fontId="5" fillId="4" borderId="3" xfId="0" applyFont="1" applyFill="1" applyBorder="1"/>
    <xf numFmtId="0" fontId="6" fillId="4" borderId="1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6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14" fontId="6" fillId="4" borderId="2" xfId="0" applyNumberFormat="1" applyFont="1" applyFill="1" applyBorder="1" applyAlignment="1">
      <alignment horizontal="right"/>
    </xf>
    <xf numFmtId="0" fontId="6" fillId="4" borderId="7" xfId="0" applyFont="1" applyFill="1" applyBorder="1"/>
    <xf numFmtId="14" fontId="6" fillId="4" borderId="0" xfId="0" applyNumberFormat="1" applyFont="1" applyFill="1"/>
    <xf numFmtId="0" fontId="6" fillId="4" borderId="0" xfId="0" applyFont="1" applyFill="1"/>
    <xf numFmtId="0" fontId="6" fillId="4" borderId="8" xfId="0" applyFont="1" applyFill="1" applyBorder="1"/>
    <xf numFmtId="165" fontId="6" fillId="4" borderId="5" xfId="0" applyNumberFormat="1" applyFont="1" applyFill="1" applyBorder="1"/>
    <xf numFmtId="0" fontId="8" fillId="5" borderId="0" xfId="1" applyFill="1"/>
    <xf numFmtId="0" fontId="9" fillId="6" borderId="0" xfId="2" applyFill="1"/>
    <xf numFmtId="0" fontId="8" fillId="0" borderId="0" xfId="1"/>
    <xf numFmtId="0" fontId="10" fillId="7" borderId="0" xfId="2" applyFont="1" applyFill="1"/>
    <xf numFmtId="0" fontId="8" fillId="0" borderId="1" xfId="1" applyBorder="1"/>
    <xf numFmtId="0" fontId="8" fillId="0" borderId="2" xfId="1" applyBorder="1"/>
    <xf numFmtId="0" fontId="9" fillId="8" borderId="7" xfId="2" applyFill="1" applyBorder="1"/>
    <xf numFmtId="0" fontId="8" fillId="0" borderId="7" xfId="1" applyBorder="1"/>
    <xf numFmtId="0" fontId="11" fillId="9" borderId="0" xfId="1" applyFont="1" applyFill="1" applyAlignment="1">
      <alignment vertical="center"/>
    </xf>
    <xf numFmtId="0" fontId="11" fillId="9" borderId="0" xfId="1" applyFont="1" applyFill="1"/>
    <xf numFmtId="0" fontId="12" fillId="7" borderId="0" xfId="2" applyFont="1" applyFill="1"/>
    <xf numFmtId="0" fontId="9" fillId="7" borderId="0" xfId="2" applyFill="1"/>
    <xf numFmtId="0" fontId="13" fillId="10" borderId="9" xfId="1" applyFont="1" applyFill="1" applyBorder="1" applyAlignment="1">
      <alignment horizontal="center" vertical="center" wrapText="1"/>
    </xf>
    <xf numFmtId="2" fontId="1" fillId="10" borderId="3" xfId="3" applyNumberFormat="1" applyFont="1" applyFill="1" applyBorder="1" applyAlignment="1">
      <alignment horizontal="center" vertical="center" wrapText="1"/>
    </xf>
    <xf numFmtId="0" fontId="9" fillId="11" borderId="0" xfId="2" applyFill="1"/>
    <xf numFmtId="9" fontId="0" fillId="0" borderId="0" xfId="3" applyFont="1"/>
    <xf numFmtId="0" fontId="9" fillId="14" borderId="2" xfId="2" applyFill="1" applyBorder="1"/>
    <xf numFmtId="0" fontId="9" fillId="5" borderId="0" xfId="2" applyFill="1"/>
    <xf numFmtId="0" fontId="8" fillId="13" borderId="0" xfId="1" applyFill="1"/>
    <xf numFmtId="2" fontId="14" fillId="12" borderId="1" xfId="1" applyNumberFormat="1" applyFont="1" applyFill="1" applyBorder="1" applyAlignment="1">
      <alignment horizontal="left"/>
    </xf>
    <xf numFmtId="2" fontId="14" fillId="12" borderId="7" xfId="1" applyNumberFormat="1" applyFont="1" applyFill="1" applyBorder="1" applyAlignment="1">
      <alignment horizontal="left"/>
    </xf>
    <xf numFmtId="0" fontId="7" fillId="0" borderId="0" xfId="0" applyFont="1" applyProtection="1">
      <protection locked="0"/>
    </xf>
    <xf numFmtId="2" fontId="14" fillId="12" borderId="4" xfId="1" applyNumberFormat="1" applyFont="1" applyFill="1" applyBorder="1" applyAlignment="1">
      <alignment horizontal="left"/>
    </xf>
    <xf numFmtId="37" fontId="0" fillId="15" borderId="0" xfId="4" applyNumberFormat="1" applyFont="1" applyFill="1" applyBorder="1" applyAlignment="1">
      <alignment horizontal="center"/>
    </xf>
    <xf numFmtId="37" fontId="0" fillId="0" borderId="0" xfId="0" applyNumberFormat="1"/>
    <xf numFmtId="0" fontId="8" fillId="13" borderId="9" xfId="1" applyFill="1" applyBorder="1" applyAlignment="1">
      <alignment horizontal="center"/>
    </xf>
    <xf numFmtId="0" fontId="8" fillId="13" borderId="10" xfId="1" applyFill="1" applyBorder="1" applyAlignment="1">
      <alignment horizontal="center"/>
    </xf>
    <xf numFmtId="0" fontId="8" fillId="13" borderId="11" xfId="1" applyFill="1" applyBorder="1" applyAlignment="1">
      <alignment horizontal="center"/>
    </xf>
    <xf numFmtId="0" fontId="8" fillId="16" borderId="9" xfId="1" applyFill="1" applyBorder="1" applyAlignment="1">
      <alignment horizontal="center"/>
    </xf>
    <xf numFmtId="37" fontId="0" fillId="15" borderId="9" xfId="5" applyNumberFormat="1" applyFont="1" applyFill="1" applyBorder="1" applyAlignment="1">
      <alignment horizontal="center"/>
    </xf>
    <xf numFmtId="0" fontId="8" fillId="13" borderId="3" xfId="1" applyFill="1" applyBorder="1" applyAlignment="1">
      <alignment horizontal="center"/>
    </xf>
    <xf numFmtId="0" fontId="8" fillId="13" borderId="8" xfId="1" applyFill="1" applyBorder="1" applyAlignment="1">
      <alignment horizontal="center"/>
    </xf>
    <xf numFmtId="0" fontId="8" fillId="13" borderId="6" xfId="1" applyFill="1" applyBorder="1" applyAlignment="1">
      <alignment horizontal="center"/>
    </xf>
    <xf numFmtId="0" fontId="14" fillId="12" borderId="1" xfId="1" applyFont="1" applyFill="1" applyBorder="1"/>
    <xf numFmtId="0" fontId="14" fillId="12" borderId="3" xfId="1" applyFont="1" applyFill="1" applyBorder="1"/>
    <xf numFmtId="0" fontId="14" fillId="12" borderId="7" xfId="1" applyFont="1" applyFill="1" applyBorder="1"/>
    <xf numFmtId="0" fontId="14" fillId="12" borderId="8" xfId="1" applyFont="1" applyFill="1" applyBorder="1"/>
    <xf numFmtId="0" fontId="14" fillId="12" borderId="4" xfId="1" applyFont="1" applyFill="1" applyBorder="1"/>
    <xf numFmtId="0" fontId="14" fillId="12" borderId="6" xfId="1" applyFont="1" applyFill="1" applyBorder="1"/>
    <xf numFmtId="39" fontId="0" fillId="15" borderId="9" xfId="5" applyNumberFormat="1" applyFont="1" applyFill="1" applyBorder="1" applyAlignment="1">
      <alignment horizontal="center"/>
    </xf>
    <xf numFmtId="39" fontId="0" fillId="15" borderId="10" xfId="5" applyNumberFormat="1" applyFont="1" applyFill="1" applyBorder="1" applyAlignment="1">
      <alignment horizontal="center"/>
    </xf>
    <xf numFmtId="39" fontId="0" fillId="15" borderId="11" xfId="5" applyNumberFormat="1" applyFont="1" applyFill="1" applyBorder="1" applyAlignment="1">
      <alignment horizontal="center"/>
    </xf>
  </cellXfs>
  <cellStyles count="7">
    <cellStyle name="Millares 10" xfId="4" xr:uid="{00000000-0005-0000-0000-000000000000}"/>
    <cellStyle name="Millares 10 2" xfId="5" xr:uid="{31BF41E8-030C-425A-94AD-F65D09BF99B6}"/>
    <cellStyle name="Millares 2" xfId="6" xr:uid="{CE163FD0-31C0-4595-AE93-C8C732DF1A9D}"/>
    <cellStyle name="Normal" xfId="0" builtinId="0"/>
    <cellStyle name="Normal 10" xfId="1" xr:uid="{00000000-0005-0000-0000-000002000000}"/>
    <cellStyle name="Normal 5 17" xfId="2" xr:uid="{00000000-0005-0000-0000-000003000000}"/>
    <cellStyle name="Porcentaje 2" xfId="3" xr:uid="{00000000-0005-0000-0000-000005000000}"/>
  </cellStyles>
  <dxfs count="4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Front Page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Front Pag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976327</xdr:colOff>
      <xdr:row>16</xdr:row>
      <xdr:rowOff>76200</xdr:rowOff>
    </xdr:from>
    <xdr:to>
      <xdr:col>4</xdr:col>
      <xdr:colOff>190500</xdr:colOff>
      <xdr:row>18</xdr:row>
      <xdr:rowOff>114300</xdr:rowOff>
    </xdr:to>
    <xdr:sp macro="[0]!Show_pages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19327" y="2838450"/>
          <a:ext cx="1757348" cy="361950"/>
        </a:xfrm>
        <a:prstGeom prst="roundRect">
          <a:avLst/>
        </a:prstGeom>
        <a:gradFill>
          <a:gsLst>
            <a:gs pos="0">
              <a:schemeClr val="bg1">
                <a:lumMod val="65000"/>
              </a:schemeClr>
            </a:gs>
            <a:gs pos="80000">
              <a:schemeClr val="bg1">
                <a:lumMod val="75000"/>
              </a:schemeClr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Show Pages</a:t>
          </a:r>
          <a:endParaRPr lang="es-AR">
            <a:solidFill>
              <a:srgbClr val="002060"/>
            </a:solidFill>
            <a:effectLst/>
          </a:endParaRPr>
        </a:p>
        <a:p>
          <a:pPr marL="0" indent="0" algn="ctr"/>
          <a:endParaRPr lang="es-AR" sz="1100" b="1">
            <a:solidFill>
              <a:srgbClr val="00206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333389</xdr:colOff>
      <xdr:row>16</xdr:row>
      <xdr:rowOff>76200</xdr:rowOff>
    </xdr:from>
    <xdr:to>
      <xdr:col>1</xdr:col>
      <xdr:colOff>866774</xdr:colOff>
      <xdr:row>18</xdr:row>
      <xdr:rowOff>114300</xdr:rowOff>
    </xdr:to>
    <xdr:sp macro="[0]!Hide_pages" textlink="">
      <xdr:nvSpPr>
        <xdr:cNvPr id="3" name="4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33389" y="2838450"/>
          <a:ext cx="1676385" cy="361950"/>
        </a:xfrm>
        <a:prstGeom prst="roundRect">
          <a:avLst/>
        </a:prstGeom>
        <a:gradFill>
          <a:gsLst>
            <a:gs pos="0">
              <a:schemeClr val="bg1">
                <a:lumMod val="65000"/>
              </a:schemeClr>
            </a:gs>
            <a:gs pos="80000">
              <a:schemeClr val="bg1">
                <a:lumMod val="75000"/>
              </a:schemeClr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1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Hide Pages</a:t>
          </a:r>
        </a:p>
      </xdr:txBody>
    </xdr:sp>
    <xdr:clientData/>
  </xdr:twoCellAnchor>
  <xdr:twoCellAnchor editAs="oneCell">
    <xdr:from>
      <xdr:col>6</xdr:col>
      <xdr:colOff>790575</xdr:colOff>
      <xdr:row>14</xdr:row>
      <xdr:rowOff>114300</xdr:rowOff>
    </xdr:from>
    <xdr:to>
      <xdr:col>7</xdr:col>
      <xdr:colOff>104775</xdr:colOff>
      <xdr:row>20</xdr:row>
      <xdr:rowOff>56054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E6F2C05-7E72-4B17-9117-D7B97116B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0" y="2552700"/>
          <a:ext cx="2324100" cy="9133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3</xdr:row>
      <xdr:rowOff>57150</xdr:rowOff>
    </xdr:from>
    <xdr:to>
      <xdr:col>10</xdr:col>
      <xdr:colOff>647700</xdr:colOff>
      <xdr:row>3</xdr:row>
      <xdr:rowOff>1047750</xdr:rowOff>
    </xdr:to>
    <xdr:sp macro="" textlink="">
      <xdr:nvSpPr>
        <xdr:cNvPr id="3" name="3 Rectángul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191000" y="796290"/>
          <a:ext cx="4998720" cy="9906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pt-BR" sz="1200" b="1" u="sng"/>
            <a:t>Notes: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sz="1200" b="1" u="sng"/>
        </a:p>
      </xdr:txBody>
    </xdr:sp>
    <xdr:clientData/>
  </xdr:twoCellAnchor>
  <xdr:twoCellAnchor>
    <xdr:from>
      <xdr:col>11</xdr:col>
      <xdr:colOff>171450</xdr:colOff>
      <xdr:row>2</xdr:row>
      <xdr:rowOff>38100</xdr:rowOff>
    </xdr:from>
    <xdr:to>
      <xdr:col>13</xdr:col>
      <xdr:colOff>409576</xdr:colOff>
      <xdr:row>2</xdr:row>
      <xdr:rowOff>349063</xdr:rowOff>
    </xdr:to>
    <xdr:sp macro="" textlink="">
      <xdr:nvSpPr>
        <xdr:cNvPr id="4" name="5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444990" y="381000"/>
          <a:ext cx="1701166" cy="310963"/>
        </a:xfrm>
        <a:prstGeom prst="roundRect">
          <a:avLst/>
        </a:prstGeom>
        <a:gradFill>
          <a:gsLst>
            <a:gs pos="0">
              <a:schemeClr val="bg1">
                <a:lumMod val="65000"/>
              </a:schemeClr>
            </a:gs>
            <a:gs pos="80000">
              <a:schemeClr val="bg1">
                <a:lumMod val="75000"/>
              </a:schemeClr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1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Front Page</a:t>
          </a:r>
        </a:p>
      </xdr:txBody>
    </xdr:sp>
    <xdr:clientData/>
  </xdr:twoCellAnchor>
  <xdr:twoCellAnchor editAs="oneCell">
    <xdr:from>
      <xdr:col>0</xdr:col>
      <xdr:colOff>180975</xdr:colOff>
      <xdr:row>3</xdr:row>
      <xdr:rowOff>9525</xdr:rowOff>
    </xdr:from>
    <xdr:to>
      <xdr:col>2</xdr:col>
      <xdr:colOff>2228850</xdr:colOff>
      <xdr:row>3</xdr:row>
      <xdr:rowOff>922829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4736F7B-501D-4D2D-B84D-81BEC19C1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752475"/>
          <a:ext cx="2324100" cy="9133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1362075</xdr:colOff>
      <xdr:row>3</xdr:row>
      <xdr:rowOff>104775</xdr:rowOff>
    </xdr:from>
    <xdr:to>
      <xdr:col>8</xdr:col>
      <xdr:colOff>1428750</xdr:colOff>
      <xdr:row>3</xdr:row>
      <xdr:rowOff>885825</xdr:rowOff>
    </xdr:to>
    <xdr:sp macro="" textlink="">
      <xdr:nvSpPr>
        <xdr:cNvPr id="3" name="3 Rectángul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286125" y="847725"/>
          <a:ext cx="4953000" cy="7810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pt-BR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</a:t>
          </a:r>
          <a:r>
            <a:rPr lang="pt-BR" sz="1200" b="1" u="sng"/>
            <a:t>: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sz="1200" b="1" u="sng"/>
        </a:p>
      </xdr:txBody>
    </xdr:sp>
    <xdr:clientData/>
  </xdr:twoCellAnchor>
  <xdr:twoCellAnchor>
    <xdr:from>
      <xdr:col>3</xdr:col>
      <xdr:colOff>1704976</xdr:colOff>
      <xdr:row>2</xdr:row>
      <xdr:rowOff>47625</xdr:rowOff>
    </xdr:from>
    <xdr:to>
      <xdr:col>5</xdr:col>
      <xdr:colOff>1238251</xdr:colOff>
      <xdr:row>2</xdr:row>
      <xdr:rowOff>358588</xdr:rowOff>
    </xdr:to>
    <xdr:sp macro="" textlink="">
      <xdr:nvSpPr>
        <xdr:cNvPr id="4" name="5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990851" y="390525"/>
          <a:ext cx="1619250" cy="310963"/>
        </a:xfrm>
        <a:prstGeom prst="roundRect">
          <a:avLst/>
        </a:prstGeom>
        <a:gradFill>
          <a:gsLst>
            <a:gs pos="0">
              <a:schemeClr val="bg1">
                <a:lumMod val="65000"/>
              </a:schemeClr>
            </a:gs>
            <a:gs pos="80000">
              <a:schemeClr val="bg1">
                <a:lumMod val="75000"/>
              </a:schemeClr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1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Front Page</a:t>
          </a:r>
        </a:p>
      </xdr:txBody>
    </xdr:sp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1314450</xdr:colOff>
      <xdr:row>3</xdr:row>
      <xdr:rowOff>913304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CEF1D96-22E0-4155-91EB-8EF040563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742950"/>
          <a:ext cx="2324100" cy="9133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1">
    <tabColor rgb="FFFF0000"/>
  </sheetPr>
  <dimension ref="A1:G20"/>
  <sheetViews>
    <sheetView showGridLines="0" tabSelected="1" zoomScaleNormal="100" workbookViewId="0">
      <selection activeCell="A14" sqref="A14"/>
    </sheetView>
  </sheetViews>
  <sheetFormatPr baseColWidth="10" defaultColWidth="11.42578125" defaultRowHeight="12.75" x14ac:dyDescent="0.2"/>
  <cols>
    <col min="1" max="1" width="17.140625" customWidth="1"/>
    <col min="2" max="2" width="15.28515625" customWidth="1"/>
    <col min="7" max="7" width="45.140625" customWidth="1"/>
  </cols>
  <sheetData>
    <row r="1" spans="1:7" ht="20.25" x14ac:dyDescent="0.3">
      <c r="A1" s="1" t="s">
        <v>271</v>
      </c>
      <c r="B1" s="1"/>
      <c r="C1" s="1"/>
      <c r="D1" s="1"/>
      <c r="E1" s="1"/>
      <c r="F1" s="1"/>
      <c r="G1" s="1"/>
    </row>
    <row r="2" spans="1:7" ht="6" customHeight="1" x14ac:dyDescent="0.2">
      <c r="A2" s="2"/>
      <c r="B2" s="2"/>
      <c r="C2" s="2"/>
      <c r="D2" s="2"/>
      <c r="E2" s="2"/>
      <c r="F2" s="2"/>
      <c r="G2" s="2"/>
    </row>
    <row r="3" spans="1:7" ht="6" customHeight="1" x14ac:dyDescent="0.2">
      <c r="A3" s="3">
        <v>1</v>
      </c>
      <c r="B3" s="2"/>
      <c r="C3" s="2"/>
      <c r="D3" s="2"/>
      <c r="E3" s="2"/>
      <c r="F3" s="2"/>
      <c r="G3" s="2"/>
    </row>
    <row r="4" spans="1:7" x14ac:dyDescent="0.2">
      <c r="A4" s="4" t="s">
        <v>0</v>
      </c>
      <c r="B4" s="5"/>
      <c r="C4" s="5"/>
      <c r="D4" s="5"/>
      <c r="E4" s="5"/>
      <c r="F4" s="5"/>
      <c r="G4" s="5"/>
    </row>
    <row r="5" spans="1:7" ht="26.25" customHeight="1" thickBot="1" x14ac:dyDescent="0.25">
      <c r="A5" s="6" t="s">
        <v>1</v>
      </c>
      <c r="B5" s="7"/>
      <c r="C5" s="7"/>
      <c r="D5" s="7"/>
      <c r="E5" s="7"/>
      <c r="F5" s="7"/>
      <c r="G5" s="7"/>
    </row>
    <row r="6" spans="1:7" ht="16.5" thickBot="1" x14ac:dyDescent="0.3">
      <c r="A6" s="8" t="s">
        <v>2</v>
      </c>
      <c r="B6" s="9"/>
      <c r="C6" s="9"/>
      <c r="D6" s="9"/>
      <c r="E6" s="9"/>
      <c r="F6" s="9"/>
      <c r="G6" s="10"/>
    </row>
    <row r="7" spans="1:7" x14ac:dyDescent="0.2">
      <c r="A7" s="11" t="s">
        <v>3</v>
      </c>
      <c r="B7" s="12">
        <v>861</v>
      </c>
      <c r="C7" s="12"/>
      <c r="D7" s="12"/>
      <c r="E7" s="12"/>
      <c r="F7" s="12"/>
      <c r="G7" s="13"/>
    </row>
    <row r="8" spans="1:7" ht="13.5" thickBot="1" x14ac:dyDescent="0.25">
      <c r="A8" s="14" t="s">
        <v>4</v>
      </c>
      <c r="B8" s="15">
        <v>3801</v>
      </c>
      <c r="C8" s="15"/>
      <c r="D8" s="15"/>
      <c r="E8" s="15"/>
      <c r="F8" s="15"/>
      <c r="G8" s="16"/>
    </row>
    <row r="9" spans="1:7" x14ac:dyDescent="0.2">
      <c r="A9" s="11" t="s">
        <v>5</v>
      </c>
      <c r="B9" s="17" t="s">
        <v>262</v>
      </c>
      <c r="C9" s="12"/>
      <c r="D9" s="12"/>
      <c r="E9" s="12"/>
      <c r="F9" s="12"/>
      <c r="G9" s="13"/>
    </row>
    <row r="10" spans="1:7" x14ac:dyDescent="0.2">
      <c r="A10" s="18" t="s">
        <v>6</v>
      </c>
      <c r="B10" s="19">
        <v>43837</v>
      </c>
      <c r="C10" s="20"/>
      <c r="D10" s="20"/>
      <c r="E10" s="20"/>
      <c r="F10" s="20"/>
      <c r="G10" s="21"/>
    </row>
    <row r="11" spans="1:7" ht="13.5" thickBot="1" x14ac:dyDescent="0.25">
      <c r="A11" s="14" t="s">
        <v>7</v>
      </c>
      <c r="B11" s="22">
        <v>0.53879629629629633</v>
      </c>
      <c r="C11" s="15"/>
      <c r="D11" s="15"/>
      <c r="E11" s="15"/>
      <c r="F11" s="15"/>
      <c r="G11" s="16"/>
    </row>
    <row r="12" spans="1:7" x14ac:dyDescent="0.2">
      <c r="A12" s="11" t="s">
        <v>8</v>
      </c>
      <c r="B12" s="12" t="s">
        <v>267</v>
      </c>
      <c r="C12" s="12"/>
      <c r="D12" s="12"/>
      <c r="E12" s="12"/>
      <c r="F12" s="12"/>
      <c r="G12" s="13"/>
    </row>
    <row r="13" spans="1:7" x14ac:dyDescent="0.2">
      <c r="A13" s="18" t="s">
        <v>9</v>
      </c>
      <c r="B13" s="20" t="s">
        <v>268</v>
      </c>
      <c r="C13" s="20"/>
      <c r="D13" s="20"/>
      <c r="E13" s="20"/>
      <c r="F13" s="20"/>
      <c r="G13" s="21"/>
    </row>
    <row r="14" spans="1:7" ht="13.5" thickBot="1" x14ac:dyDescent="0.25">
      <c r="A14" s="14" t="s">
        <v>10</v>
      </c>
      <c r="B14" s="15"/>
      <c r="C14" s="15"/>
      <c r="D14" s="15"/>
      <c r="E14" s="15"/>
      <c r="F14" s="15"/>
      <c r="G14" s="16"/>
    </row>
    <row r="15" spans="1:7" x14ac:dyDescent="0.2">
      <c r="A15" s="5"/>
      <c r="B15" s="5"/>
      <c r="C15" s="5"/>
      <c r="D15" s="5"/>
      <c r="E15" s="5"/>
      <c r="F15" s="5"/>
      <c r="G15" s="5"/>
    </row>
    <row r="17" spans="1:7" x14ac:dyDescent="0.2">
      <c r="A17" s="44"/>
      <c r="B17" s="2"/>
      <c r="C17" s="2"/>
      <c r="D17" s="2"/>
      <c r="E17" s="2"/>
      <c r="F17" s="2"/>
      <c r="G17" s="2"/>
    </row>
    <row r="18" spans="1:7" x14ac:dyDescent="0.2">
      <c r="A18" s="2"/>
      <c r="B18" s="2"/>
      <c r="C18" s="2"/>
      <c r="D18" s="2"/>
      <c r="E18" s="2"/>
      <c r="F18" s="2"/>
      <c r="G18" s="2"/>
    </row>
    <row r="19" spans="1:7" x14ac:dyDescent="0.2">
      <c r="A19" s="2"/>
      <c r="B19" s="2"/>
      <c r="C19" s="2"/>
      <c r="D19" s="2"/>
      <c r="E19" s="2"/>
      <c r="F19" s="2"/>
      <c r="G19" s="2"/>
    </row>
    <row r="20" spans="1:7" x14ac:dyDescent="0.2">
      <c r="A20" s="2"/>
      <c r="B20" s="2"/>
      <c r="C20" s="2"/>
      <c r="D20" s="2"/>
      <c r="E20" s="2"/>
      <c r="F20" s="2"/>
      <c r="G20" s="2"/>
    </row>
  </sheetData>
  <pageMargins left="0.75" right="0.75" top="1" bottom="1" header="0" footer="0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2">
    <tabColor theme="9" tint="0.39997558519241921"/>
  </sheetPr>
  <dimension ref="A1:C2"/>
  <sheetViews>
    <sheetView workbookViewId="0">
      <selection sqref="A1:C2"/>
    </sheetView>
  </sheetViews>
  <sheetFormatPr baseColWidth="10" defaultColWidth="11.42578125" defaultRowHeight="12.75" x14ac:dyDescent="0.2"/>
  <cols>
    <col min="3" max="3" width="45.140625" bestFit="1" customWidth="1"/>
  </cols>
  <sheetData>
    <row r="1" spans="1:3" x14ac:dyDescent="0.2">
      <c r="A1" t="s">
        <v>11</v>
      </c>
      <c r="B1" t="str">
        <f>+TEXT('Front Page'!A6,"0")</f>
        <v>Template Information Area (Autommatically generated when saving)</v>
      </c>
      <c r="C1" t="str">
        <f>IF(B1="Saving date",TEXT('Front Page'!B6,"dd/mm/yyyy"),IF(B1="Saving time",TEXT('Front Page'!B6,"hh:mm:ss"),TEXT('Front Page'!B6,"0")))</f>
        <v>0</v>
      </c>
    </row>
    <row r="2" spans="1:3" x14ac:dyDescent="0.2">
      <c r="A2" t="s">
        <v>11</v>
      </c>
      <c r="B2" t="str">
        <f>+TEXT('Front Page'!A7,"0")</f>
        <v>Version</v>
      </c>
      <c r="C2" t="str">
        <f>IF(B2="Saving date",TEXT('Front Page'!B7,"dd/mm/yyyy"),IF(B2="Saving time",TEXT('Front Page'!B7,"hh:mm:ss"),TEXT('Front Page'!B7,"0")))</f>
        <v>861</v>
      </c>
    </row>
  </sheetData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9">
    <tabColor rgb="FFFF0000"/>
  </sheetPr>
  <dimension ref="A1:AHX85"/>
  <sheetViews>
    <sheetView showGridLines="0" zoomScaleNormal="100" workbookViewId="0"/>
  </sheetViews>
  <sheetFormatPr baseColWidth="10" defaultColWidth="0" defaultRowHeight="0" customHeight="1" zeroHeight="1" x14ac:dyDescent="0.2"/>
  <cols>
    <col min="1" max="1" width="3" style="25" customWidth="1"/>
    <col min="2" max="2" width="1.140625" style="25" customWidth="1"/>
    <col min="3" max="3" width="42.5703125" style="25" bestFit="1" customWidth="1"/>
    <col min="4" max="4" width="14.140625" style="25" customWidth="1"/>
    <col min="5" max="90" width="10.7109375" style="25" customWidth="1"/>
    <col min="91" max="91" width="1.28515625" style="25" customWidth="1"/>
    <col min="92" max="92" width="3.85546875" style="25" customWidth="1"/>
    <col min="93" max="94" width="11.28515625" style="25" hidden="1" customWidth="1"/>
    <col min="95" max="98" width="9" style="25" hidden="1" customWidth="1"/>
    <col min="99" max="100" width="30.42578125" style="25" hidden="1" customWidth="1"/>
    <col min="101" max="101" width="7.7109375" style="25" hidden="1" customWidth="1"/>
    <col min="102" max="103" width="21.42578125" style="25" hidden="1" customWidth="1"/>
    <col min="104" max="104" width="30.42578125" style="25" hidden="1" customWidth="1"/>
    <col min="105" max="105" width="37" style="25" hidden="1" customWidth="1"/>
    <col min="106" max="106" width="15" style="25" hidden="1" customWidth="1"/>
    <col min="107" max="107" width="24.85546875" style="25" hidden="1" customWidth="1"/>
    <col min="108" max="108" width="23.7109375" style="25" hidden="1" customWidth="1"/>
    <col min="109" max="109" width="30.5703125" style="25" hidden="1" customWidth="1"/>
    <col min="110" max="110" width="9" style="25" hidden="1" customWidth="1"/>
    <col min="111" max="112" width="12.7109375" style="25" hidden="1" customWidth="1"/>
    <col min="113" max="193" width="0" style="25" hidden="1" customWidth="1"/>
    <col min="194" max="195" width="11.28515625" style="25" hidden="1" customWidth="1"/>
    <col min="196" max="199" width="9" style="25" hidden="1" customWidth="1"/>
    <col min="200" max="201" width="30.42578125" style="25" hidden="1" customWidth="1"/>
    <col min="202" max="202" width="7.7109375" style="25" hidden="1" customWidth="1"/>
    <col min="203" max="204" width="21.42578125" style="25" hidden="1" customWidth="1"/>
    <col min="205" max="205" width="30.42578125" style="25" hidden="1" customWidth="1"/>
    <col min="206" max="206" width="37" style="25" hidden="1" customWidth="1"/>
    <col min="207" max="207" width="15" style="25" hidden="1" customWidth="1"/>
    <col min="208" max="208" width="24.85546875" style="25" hidden="1" customWidth="1"/>
    <col min="209" max="209" width="23.7109375" style="25" hidden="1" customWidth="1"/>
    <col min="210" max="210" width="30.5703125" style="25" hidden="1" customWidth="1"/>
    <col min="211" max="211" width="9" style="25" hidden="1" customWidth="1"/>
    <col min="212" max="213" width="12.7109375" style="25" hidden="1" customWidth="1"/>
    <col min="214" max="214" width="23.7109375" style="25" hidden="1" customWidth="1"/>
    <col min="215" max="215" width="30.5703125" style="25" hidden="1" customWidth="1"/>
    <col min="216" max="216" width="9" style="25" hidden="1" customWidth="1"/>
    <col min="217" max="218" width="12.7109375" style="25" hidden="1" customWidth="1"/>
    <col min="219" max="241" width="0" style="25" hidden="1" customWidth="1"/>
    <col min="242" max="243" width="11.28515625" style="25" hidden="1" customWidth="1"/>
    <col min="244" max="247" width="9" style="25" hidden="1" customWidth="1"/>
    <col min="248" max="249" width="30.42578125" style="25" hidden="1" customWidth="1"/>
    <col min="250" max="250" width="7.7109375" style="25" hidden="1" customWidth="1"/>
    <col min="251" max="252" width="21.42578125" style="25" hidden="1" customWidth="1"/>
    <col min="253" max="253" width="30.42578125" style="25" hidden="1" customWidth="1"/>
    <col min="254" max="254" width="37" style="25" hidden="1" customWidth="1"/>
    <col min="255" max="255" width="15" style="25" hidden="1" customWidth="1"/>
    <col min="256" max="256" width="24.85546875" style="25" hidden="1" customWidth="1"/>
    <col min="257" max="257" width="23.7109375" style="25" hidden="1" customWidth="1"/>
    <col min="258" max="258" width="30.5703125" style="25" hidden="1" customWidth="1"/>
    <col min="259" max="259" width="9" style="25" hidden="1" customWidth="1"/>
    <col min="260" max="261" width="12.7109375" style="25" hidden="1" customWidth="1"/>
    <col min="262" max="262" width="23.7109375" style="25" hidden="1" customWidth="1"/>
    <col min="263" max="263" width="30.5703125" style="25" hidden="1" customWidth="1"/>
    <col min="264" max="264" width="9" style="25" hidden="1" customWidth="1"/>
    <col min="265" max="268" width="12.7109375" style="25" hidden="1" customWidth="1"/>
    <col min="269" max="281" width="0" style="25" hidden="1" customWidth="1"/>
    <col min="282" max="283" width="11.28515625" style="25" hidden="1" customWidth="1"/>
    <col min="284" max="287" width="9" style="25" hidden="1" customWidth="1"/>
    <col min="288" max="289" width="30.42578125" style="25" hidden="1" customWidth="1"/>
    <col min="290" max="290" width="7.7109375" style="25" hidden="1" customWidth="1"/>
    <col min="291" max="292" width="21.42578125" style="25" hidden="1" customWidth="1"/>
    <col min="293" max="293" width="30.42578125" style="25" hidden="1" customWidth="1"/>
    <col min="294" max="294" width="37" style="25" hidden="1" customWidth="1"/>
    <col min="295" max="295" width="15" style="25" hidden="1" customWidth="1"/>
    <col min="296" max="296" width="24.85546875" style="25" hidden="1" customWidth="1"/>
    <col min="297" max="297" width="23.7109375" style="25" hidden="1" customWidth="1"/>
    <col min="298" max="298" width="30.5703125" style="25" hidden="1" customWidth="1"/>
    <col min="299" max="299" width="9" style="25" hidden="1" customWidth="1"/>
    <col min="300" max="301" width="12.7109375" style="25" hidden="1" customWidth="1"/>
    <col min="302" max="382" width="0" style="25" hidden="1" customWidth="1"/>
    <col min="383" max="384" width="11.28515625" style="25" hidden="1" customWidth="1"/>
    <col min="385" max="388" width="9" style="25" hidden="1" customWidth="1"/>
    <col min="389" max="390" width="30.42578125" style="25" hidden="1" customWidth="1"/>
    <col min="391" max="391" width="7.7109375" style="25" hidden="1" customWidth="1"/>
    <col min="392" max="393" width="21.42578125" style="25" hidden="1" customWidth="1"/>
    <col min="394" max="394" width="30.42578125" style="25" hidden="1" customWidth="1"/>
    <col min="395" max="395" width="37" style="25" hidden="1" customWidth="1"/>
    <col min="396" max="396" width="15" style="25" hidden="1" customWidth="1"/>
    <col min="397" max="397" width="24.85546875" style="25" hidden="1" customWidth="1"/>
    <col min="398" max="398" width="23.7109375" style="25" hidden="1" customWidth="1"/>
    <col min="399" max="399" width="30.5703125" style="25" hidden="1" customWidth="1"/>
    <col min="400" max="400" width="9" style="25" hidden="1" customWidth="1"/>
    <col min="401" max="402" width="12.7109375" style="25" hidden="1" customWidth="1"/>
    <col min="403" max="403" width="23.7109375" style="25" hidden="1" customWidth="1"/>
    <col min="404" max="404" width="30.5703125" style="25" hidden="1" customWidth="1"/>
    <col min="405" max="405" width="9" style="25" hidden="1" customWidth="1"/>
    <col min="406" max="407" width="12.7109375" style="25" hidden="1" customWidth="1"/>
    <col min="408" max="430" width="0" style="25" hidden="1" customWidth="1"/>
    <col min="431" max="432" width="11.28515625" style="25" hidden="1" customWidth="1"/>
    <col min="433" max="436" width="9" style="25" hidden="1" customWidth="1"/>
    <col min="437" max="438" width="30.42578125" style="25" hidden="1" customWidth="1"/>
    <col min="439" max="439" width="7.7109375" style="25" hidden="1" customWidth="1"/>
    <col min="440" max="441" width="21.42578125" style="25" hidden="1" customWidth="1"/>
    <col min="442" max="442" width="30.42578125" style="25" hidden="1" customWidth="1"/>
    <col min="443" max="443" width="37" style="25" hidden="1" customWidth="1"/>
    <col min="444" max="444" width="15" style="25" hidden="1" customWidth="1"/>
    <col min="445" max="445" width="24.85546875" style="25" hidden="1" customWidth="1"/>
    <col min="446" max="446" width="23.7109375" style="25" hidden="1" customWidth="1"/>
    <col min="447" max="447" width="30.5703125" style="25" hidden="1" customWidth="1"/>
    <col min="448" max="448" width="9" style="25" hidden="1" customWidth="1"/>
    <col min="449" max="450" width="12.7109375" style="25" hidden="1" customWidth="1"/>
    <col min="451" max="451" width="23.7109375" style="25" hidden="1" customWidth="1"/>
    <col min="452" max="452" width="30.5703125" style="25" hidden="1" customWidth="1"/>
    <col min="453" max="453" width="9" style="25" hidden="1" customWidth="1"/>
    <col min="454" max="457" width="12.7109375" style="25" hidden="1" customWidth="1"/>
    <col min="458" max="458" width="9" style="25" hidden="1" customWidth="1"/>
    <col min="459" max="460" width="12.7109375" style="25" hidden="1" customWidth="1"/>
    <col min="461" max="541" width="0" style="25" hidden="1" customWidth="1"/>
    <col min="542" max="543" width="11.28515625" style="25" hidden="1" customWidth="1"/>
    <col min="544" max="547" width="9" style="25" hidden="1" customWidth="1"/>
    <col min="548" max="549" width="30.42578125" style="25" hidden="1" customWidth="1"/>
    <col min="550" max="550" width="7.7109375" style="25" hidden="1" customWidth="1"/>
    <col min="551" max="552" width="21.42578125" style="25" hidden="1" customWidth="1"/>
    <col min="553" max="553" width="30.42578125" style="25" hidden="1" customWidth="1"/>
    <col min="554" max="554" width="37" style="25" hidden="1" customWidth="1"/>
    <col min="555" max="555" width="15" style="25" hidden="1" customWidth="1"/>
    <col min="556" max="556" width="24.85546875" style="25" hidden="1" customWidth="1"/>
    <col min="557" max="557" width="23.7109375" style="25" hidden="1" customWidth="1"/>
    <col min="558" max="558" width="30.5703125" style="25" hidden="1" customWidth="1"/>
    <col min="559" max="559" width="9" style="25" hidden="1" customWidth="1"/>
    <col min="560" max="561" width="12.7109375" style="25" hidden="1" customWidth="1"/>
    <col min="562" max="562" width="23.7109375" style="25" hidden="1" customWidth="1"/>
    <col min="563" max="563" width="30.5703125" style="25" hidden="1" customWidth="1"/>
    <col min="564" max="564" width="9" style="25" hidden="1" customWidth="1"/>
    <col min="565" max="566" width="12.7109375" style="25" hidden="1" customWidth="1"/>
    <col min="567" max="589" width="0" style="25" hidden="1" customWidth="1"/>
    <col min="590" max="591" width="11.28515625" style="25" hidden="1" customWidth="1"/>
    <col min="592" max="595" width="9" style="25" hidden="1" customWidth="1"/>
    <col min="596" max="597" width="30.42578125" style="25" hidden="1" customWidth="1"/>
    <col min="598" max="598" width="7.7109375" style="25" hidden="1" customWidth="1"/>
    <col min="599" max="600" width="21.42578125" style="25" hidden="1" customWidth="1"/>
    <col min="601" max="601" width="30.42578125" style="25" hidden="1" customWidth="1"/>
    <col min="602" max="602" width="37" style="25" hidden="1" customWidth="1"/>
    <col min="603" max="603" width="15" style="25" hidden="1" customWidth="1"/>
    <col min="604" max="604" width="24.85546875" style="25" hidden="1" customWidth="1"/>
    <col min="605" max="605" width="23.7109375" style="25" hidden="1" customWidth="1"/>
    <col min="606" max="606" width="30.5703125" style="25" hidden="1" customWidth="1"/>
    <col min="607" max="607" width="9" style="25" hidden="1" customWidth="1"/>
    <col min="608" max="609" width="12.7109375" style="25" hidden="1" customWidth="1"/>
    <col min="610" max="610" width="23.7109375" style="25" hidden="1" customWidth="1"/>
    <col min="611" max="611" width="30.5703125" style="25" hidden="1" customWidth="1"/>
    <col min="612" max="612" width="9" style="25" hidden="1" customWidth="1"/>
    <col min="613" max="653" width="12.7109375" style="25" hidden="1" customWidth="1"/>
    <col min="654" max="654" width="30.42578125" style="25" hidden="1" customWidth="1"/>
    <col min="655" max="655" width="7.7109375" style="25" hidden="1" customWidth="1"/>
    <col min="656" max="657" width="21.42578125" style="25" hidden="1" customWidth="1"/>
    <col min="658" max="658" width="30.42578125" style="25" hidden="1" customWidth="1"/>
    <col min="659" max="659" width="37" style="25" hidden="1" customWidth="1"/>
    <col min="660" max="660" width="15" style="25" hidden="1" customWidth="1"/>
    <col min="661" max="661" width="24.85546875" style="25" hidden="1" customWidth="1"/>
    <col min="662" max="662" width="23.7109375" style="25" hidden="1" customWidth="1"/>
    <col min="663" max="663" width="30.5703125" style="25" hidden="1" customWidth="1"/>
    <col min="664" max="664" width="9" style="25" hidden="1" customWidth="1"/>
    <col min="665" max="666" width="12.7109375" style="25" hidden="1" customWidth="1"/>
    <col min="667" max="667" width="23.7109375" style="25" hidden="1" customWidth="1"/>
    <col min="668" max="668" width="30.5703125" style="25" hidden="1" customWidth="1"/>
    <col min="669" max="669" width="9" style="25" hidden="1" customWidth="1"/>
    <col min="670" max="671" width="12.7109375" style="25" hidden="1" customWidth="1"/>
    <col min="672" max="694" width="0" style="25" hidden="1" customWidth="1"/>
    <col min="695" max="696" width="11.28515625" style="25" hidden="1" customWidth="1"/>
    <col min="697" max="700" width="9" style="25" hidden="1" customWidth="1"/>
    <col min="701" max="702" width="30.42578125" style="25" hidden="1" customWidth="1"/>
    <col min="703" max="703" width="7.7109375" style="25" hidden="1" customWidth="1"/>
    <col min="704" max="705" width="21.42578125" style="25" hidden="1" customWidth="1"/>
    <col min="706" max="706" width="30.42578125" style="25" hidden="1" customWidth="1"/>
    <col min="707" max="707" width="37" style="25" hidden="1" customWidth="1"/>
    <col min="708" max="708" width="15" style="25" hidden="1" customWidth="1"/>
    <col min="709" max="709" width="24.85546875" style="25" hidden="1" customWidth="1"/>
    <col min="710" max="710" width="23.7109375" style="25" hidden="1" customWidth="1"/>
    <col min="711" max="711" width="30.5703125" style="25" hidden="1" customWidth="1"/>
    <col min="712" max="712" width="9" style="25" hidden="1" customWidth="1"/>
    <col min="713" max="714" width="12.7109375" style="25" hidden="1" customWidth="1"/>
    <col min="715" max="715" width="23.7109375" style="25" hidden="1" customWidth="1"/>
    <col min="716" max="716" width="30.5703125" style="25" hidden="1" customWidth="1"/>
    <col min="717" max="717" width="9" style="25" hidden="1" customWidth="1"/>
    <col min="718" max="760" width="12.7109375" style="25" hidden="1" customWidth="1"/>
    <col min="761" max="761" width="23.7109375" style="25" hidden="1" customWidth="1"/>
    <col min="762" max="762" width="30.5703125" style="25" hidden="1" customWidth="1"/>
    <col min="763" max="763" width="9" style="25" hidden="1" customWidth="1"/>
    <col min="764" max="908" width="12.7109375" style="25" hidden="1" customWidth="1"/>
    <col min="909" max="16384" width="9" style="25" hidden="1"/>
  </cols>
  <sheetData>
    <row r="1" spans="1:93" ht="17.25" customHeight="1" thickBot="1" x14ac:dyDescent="0.3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</row>
    <row r="2" spans="1:93" ht="10.15" customHeight="1" x14ac:dyDescent="0.25">
      <c r="A2" s="26">
        <f>IF(ISERROR(MATCH(2045.12,6:6,0)),0,MATCH(2045.12,6:6,0))</f>
        <v>0</v>
      </c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9"/>
    </row>
    <row r="3" spans="1:93" ht="31.5" customHeight="1" x14ac:dyDescent="0.25">
      <c r="A3" s="26">
        <f>+COUNTA(C:C)-1</f>
        <v>77</v>
      </c>
      <c r="B3" s="30"/>
      <c r="C3" s="31" t="s">
        <v>263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2"/>
      <c r="CN3" s="29"/>
    </row>
    <row r="4" spans="1:93" ht="88.5" customHeight="1" x14ac:dyDescent="0.25">
      <c r="A4" s="33"/>
      <c r="B4" s="30"/>
      <c r="CN4" s="29"/>
    </row>
    <row r="5" spans="1:93" ht="12.75" customHeight="1" thickBot="1" x14ac:dyDescent="0.3">
      <c r="A5" s="34"/>
      <c r="B5" s="30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N5" s="29"/>
    </row>
    <row r="6" spans="1:93" ht="16.5" thickBot="1" x14ac:dyDescent="0.3">
      <c r="A6" s="34"/>
      <c r="B6" s="30"/>
      <c r="C6" s="35" t="s">
        <v>183</v>
      </c>
      <c r="D6" s="35" t="s">
        <v>261</v>
      </c>
      <c r="E6" s="36">
        <v>2018.12</v>
      </c>
      <c r="F6" s="36">
        <v>2019.01</v>
      </c>
      <c r="G6" s="36">
        <v>2019.02</v>
      </c>
      <c r="H6" s="36">
        <v>2019.03</v>
      </c>
      <c r="I6" s="36">
        <v>2019.04</v>
      </c>
      <c r="J6" s="36">
        <v>2019.05</v>
      </c>
      <c r="K6" s="36">
        <v>2019.06</v>
      </c>
      <c r="L6" s="36">
        <v>2019.07</v>
      </c>
      <c r="M6" s="36">
        <v>2019.08</v>
      </c>
      <c r="N6" s="36">
        <v>2019.09</v>
      </c>
      <c r="O6" s="36">
        <v>2019.1</v>
      </c>
      <c r="P6" s="36">
        <v>2019.11</v>
      </c>
      <c r="Q6" s="36">
        <v>2019.12</v>
      </c>
      <c r="R6" s="36">
        <v>2020.01</v>
      </c>
      <c r="S6" s="36">
        <v>2020.02</v>
      </c>
      <c r="T6" s="36">
        <v>2020.03</v>
      </c>
      <c r="U6" s="36">
        <v>2020.04</v>
      </c>
      <c r="V6" s="36">
        <v>2020.05</v>
      </c>
      <c r="W6" s="36">
        <v>2020.06</v>
      </c>
      <c r="X6" s="36">
        <v>2020.07</v>
      </c>
      <c r="Y6" s="36">
        <v>2020.08</v>
      </c>
      <c r="Z6" s="36">
        <v>2020.09</v>
      </c>
      <c r="AA6" s="36">
        <v>2020.1</v>
      </c>
      <c r="AB6" s="36">
        <v>2020.11</v>
      </c>
      <c r="AC6" s="36">
        <v>2020.12</v>
      </c>
      <c r="AD6" s="36">
        <v>2021.01</v>
      </c>
      <c r="AE6" s="36">
        <v>2021.02</v>
      </c>
      <c r="AF6" s="36">
        <v>2021.03</v>
      </c>
      <c r="AG6" s="36">
        <v>2021.04</v>
      </c>
      <c r="AH6" s="36">
        <v>2021.05</v>
      </c>
      <c r="AI6" s="36">
        <v>2021.06</v>
      </c>
      <c r="AJ6" s="36">
        <v>2021.07</v>
      </c>
      <c r="AK6" s="36">
        <v>2021.08</v>
      </c>
      <c r="AL6" s="36">
        <v>2021.09</v>
      </c>
      <c r="AM6" s="36">
        <v>2021.1</v>
      </c>
      <c r="AN6" s="36">
        <v>2021.11</v>
      </c>
      <c r="AO6" s="36">
        <v>2021.12</v>
      </c>
      <c r="AP6" s="36">
        <v>2022.01</v>
      </c>
      <c r="AQ6" s="36">
        <v>2022.02</v>
      </c>
      <c r="AR6" s="36">
        <v>2022.03</v>
      </c>
      <c r="AS6" s="36">
        <v>2022.04</v>
      </c>
      <c r="AT6" s="36">
        <v>2022.05</v>
      </c>
      <c r="AU6" s="36">
        <v>2022.06</v>
      </c>
      <c r="AV6" s="36">
        <v>2022.07</v>
      </c>
      <c r="AW6" s="36">
        <v>2022.08</v>
      </c>
      <c r="AX6" s="36">
        <v>2022.09</v>
      </c>
      <c r="AY6" s="36">
        <v>2022.1</v>
      </c>
      <c r="AZ6" s="36">
        <v>2022.11</v>
      </c>
      <c r="BA6" s="36">
        <v>2022.12</v>
      </c>
      <c r="BB6" s="36">
        <v>2023.01</v>
      </c>
      <c r="BC6" s="36">
        <v>2023.02</v>
      </c>
      <c r="BD6" s="36">
        <v>2023.03</v>
      </c>
      <c r="BE6" s="36">
        <v>2023.04</v>
      </c>
      <c r="BF6" s="36">
        <v>2023.05</v>
      </c>
      <c r="BG6" s="36">
        <v>2023.06</v>
      </c>
      <c r="BH6" s="36">
        <v>2023.07</v>
      </c>
      <c r="BI6" s="36">
        <v>2023.08</v>
      </c>
      <c r="BJ6" s="36">
        <v>2023.09</v>
      </c>
      <c r="BK6" s="36">
        <v>2023.1</v>
      </c>
      <c r="BL6" s="36">
        <v>2023.11</v>
      </c>
      <c r="BM6" s="36">
        <v>2023.12</v>
      </c>
      <c r="BN6" s="36">
        <v>2024.01</v>
      </c>
      <c r="BO6" s="36">
        <v>2024.02</v>
      </c>
      <c r="BP6" s="36">
        <v>2024.03</v>
      </c>
      <c r="BQ6" s="36">
        <v>2024.04</v>
      </c>
      <c r="BR6" s="36">
        <v>2024.05</v>
      </c>
      <c r="BS6" s="36">
        <v>2024.06</v>
      </c>
      <c r="BT6" s="36">
        <v>2024.07</v>
      </c>
      <c r="BU6" s="36">
        <v>2024.08</v>
      </c>
      <c r="BV6" s="36">
        <v>2024.09</v>
      </c>
      <c r="BW6" s="36">
        <v>2024.1</v>
      </c>
      <c r="BX6" s="36">
        <v>2024.11</v>
      </c>
      <c r="BY6" s="36">
        <v>2024.12</v>
      </c>
      <c r="BZ6" s="36">
        <v>2025.01</v>
      </c>
      <c r="CA6" s="36">
        <v>2025.02</v>
      </c>
      <c r="CB6" s="36">
        <v>2025.03</v>
      </c>
      <c r="CC6" s="36">
        <v>2025.04</v>
      </c>
      <c r="CD6" s="36">
        <v>2025.05</v>
      </c>
      <c r="CE6" s="36">
        <v>2025.06</v>
      </c>
      <c r="CF6" s="36">
        <v>2025.07</v>
      </c>
      <c r="CG6" s="36">
        <v>2025.08</v>
      </c>
      <c r="CH6" s="36">
        <v>2025.09</v>
      </c>
      <c r="CI6" s="36">
        <v>2025.1</v>
      </c>
      <c r="CJ6" s="36">
        <v>2025.11</v>
      </c>
      <c r="CK6" s="36">
        <v>2025.12</v>
      </c>
      <c r="CL6"/>
      <c r="CN6" s="29"/>
      <c r="CO6" s="37"/>
    </row>
    <row r="7" spans="1:93" ht="15" x14ac:dyDescent="0.25">
      <c r="A7" s="34"/>
      <c r="B7" s="30"/>
      <c r="C7" s="56" t="s">
        <v>184</v>
      </c>
      <c r="D7" s="57" t="s">
        <v>260</v>
      </c>
      <c r="E7" s="53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51">
        <v>1</v>
      </c>
      <c r="O7" s="51">
        <v>2</v>
      </c>
      <c r="P7" s="51">
        <v>1</v>
      </c>
      <c r="Q7" s="51">
        <v>1</v>
      </c>
      <c r="R7" s="48">
        <v>0</v>
      </c>
      <c r="S7" s="48">
        <v>0</v>
      </c>
      <c r="T7" s="51">
        <v>1</v>
      </c>
      <c r="U7" s="51">
        <v>1</v>
      </c>
      <c r="V7" s="51">
        <v>1</v>
      </c>
      <c r="W7" s="51">
        <v>2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/>
      <c r="CN7" s="29"/>
      <c r="CO7" s="37"/>
    </row>
    <row r="8" spans="1:93" ht="15" x14ac:dyDescent="0.25">
      <c r="A8" s="34"/>
      <c r="B8" s="30"/>
      <c r="C8" s="58" t="s">
        <v>185</v>
      </c>
      <c r="D8" s="59" t="s">
        <v>260</v>
      </c>
      <c r="E8" s="54">
        <v>0</v>
      </c>
      <c r="F8" s="49">
        <v>0</v>
      </c>
      <c r="G8" s="49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0</v>
      </c>
      <c r="R8" s="49">
        <v>0</v>
      </c>
      <c r="S8" s="49">
        <v>0</v>
      </c>
      <c r="T8" s="49">
        <v>0</v>
      </c>
      <c r="U8" s="49">
        <v>0</v>
      </c>
      <c r="V8" s="49">
        <v>0</v>
      </c>
      <c r="W8" s="49">
        <v>0</v>
      </c>
      <c r="X8" s="49">
        <v>0</v>
      </c>
      <c r="Y8" s="49">
        <v>0</v>
      </c>
      <c r="Z8" s="49">
        <v>0</v>
      </c>
      <c r="AA8" s="49">
        <v>0</v>
      </c>
      <c r="AB8" s="49">
        <v>0</v>
      </c>
      <c r="AC8" s="49">
        <v>0</v>
      </c>
      <c r="AD8" s="49">
        <v>0</v>
      </c>
      <c r="AE8" s="49">
        <v>0</v>
      </c>
      <c r="AF8" s="49">
        <v>0</v>
      </c>
      <c r="AG8" s="49">
        <v>0</v>
      </c>
      <c r="AH8" s="49">
        <v>0</v>
      </c>
      <c r="AI8" s="49">
        <v>0</v>
      </c>
      <c r="AJ8" s="49">
        <v>0</v>
      </c>
      <c r="AK8" s="49">
        <v>0</v>
      </c>
      <c r="AL8" s="49">
        <v>0</v>
      </c>
      <c r="AM8" s="49">
        <v>0</v>
      </c>
      <c r="AN8" s="49">
        <v>0</v>
      </c>
      <c r="AO8" s="49">
        <v>0</v>
      </c>
      <c r="AP8" s="49">
        <v>0</v>
      </c>
      <c r="AQ8" s="49">
        <v>0</v>
      </c>
      <c r="AR8" s="49">
        <v>0</v>
      </c>
      <c r="AS8" s="49">
        <v>0</v>
      </c>
      <c r="AT8" s="49">
        <v>0</v>
      </c>
      <c r="AU8" s="49">
        <v>0</v>
      </c>
      <c r="AV8" s="49">
        <v>0</v>
      </c>
      <c r="AW8" s="49">
        <v>0</v>
      </c>
      <c r="AX8" s="49">
        <v>0</v>
      </c>
      <c r="AY8" s="49">
        <v>0</v>
      </c>
      <c r="AZ8" s="49">
        <v>0</v>
      </c>
      <c r="BA8" s="49">
        <v>0</v>
      </c>
      <c r="BB8" s="49">
        <v>0</v>
      </c>
      <c r="BC8" s="49">
        <v>0</v>
      </c>
      <c r="BD8" s="49">
        <v>0</v>
      </c>
      <c r="BE8" s="49">
        <v>0</v>
      </c>
      <c r="BF8" s="49">
        <v>0</v>
      </c>
      <c r="BG8" s="49">
        <v>0</v>
      </c>
      <c r="BH8" s="49">
        <v>0</v>
      </c>
      <c r="BI8" s="49">
        <v>0</v>
      </c>
      <c r="BJ8" s="49">
        <v>0</v>
      </c>
      <c r="BK8" s="49">
        <v>0</v>
      </c>
      <c r="BL8" s="49">
        <v>0</v>
      </c>
      <c r="BM8" s="49">
        <v>0</v>
      </c>
      <c r="BN8" s="49">
        <v>0</v>
      </c>
      <c r="BO8" s="49">
        <v>0</v>
      </c>
      <c r="BP8" s="49">
        <v>0</v>
      </c>
      <c r="BQ8" s="49">
        <v>0</v>
      </c>
      <c r="BR8" s="49">
        <v>0</v>
      </c>
      <c r="BS8" s="49">
        <v>0</v>
      </c>
      <c r="BT8" s="49">
        <v>0</v>
      </c>
      <c r="BU8" s="49">
        <v>0</v>
      </c>
      <c r="BV8" s="49">
        <v>0</v>
      </c>
      <c r="BW8" s="49">
        <v>0</v>
      </c>
      <c r="BX8" s="49">
        <v>0</v>
      </c>
      <c r="BY8" s="49">
        <v>0</v>
      </c>
      <c r="BZ8" s="49">
        <v>0</v>
      </c>
      <c r="CA8" s="49">
        <v>0</v>
      </c>
      <c r="CB8" s="49">
        <v>0</v>
      </c>
      <c r="CC8" s="49">
        <v>0</v>
      </c>
      <c r="CD8" s="49">
        <v>0</v>
      </c>
      <c r="CE8" s="49">
        <v>0</v>
      </c>
      <c r="CF8" s="49">
        <v>0</v>
      </c>
      <c r="CG8" s="49">
        <v>0</v>
      </c>
      <c r="CH8" s="49">
        <v>0</v>
      </c>
      <c r="CI8" s="49">
        <v>0</v>
      </c>
      <c r="CJ8" s="49">
        <v>0</v>
      </c>
      <c r="CK8" s="49">
        <v>0</v>
      </c>
      <c r="CL8"/>
      <c r="CN8" s="29"/>
      <c r="CO8" s="37"/>
    </row>
    <row r="9" spans="1:93" ht="15" x14ac:dyDescent="0.25">
      <c r="A9" s="34"/>
      <c r="B9" s="30"/>
      <c r="C9" s="58" t="s">
        <v>186</v>
      </c>
      <c r="D9" s="59" t="s">
        <v>260</v>
      </c>
      <c r="E9" s="54">
        <v>0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5</v>
      </c>
      <c r="O9" s="49">
        <v>5</v>
      </c>
      <c r="P9" s="49">
        <v>5</v>
      </c>
      <c r="Q9" s="49">
        <v>5</v>
      </c>
      <c r="R9" s="49">
        <v>5</v>
      </c>
      <c r="S9" s="49">
        <v>5</v>
      </c>
      <c r="T9" s="49">
        <v>5</v>
      </c>
      <c r="U9" s="49">
        <v>5</v>
      </c>
      <c r="V9" s="49">
        <v>5</v>
      </c>
      <c r="W9" s="49">
        <v>5</v>
      </c>
      <c r="X9" s="49">
        <v>5</v>
      </c>
      <c r="Y9" s="49">
        <v>5</v>
      </c>
      <c r="Z9" s="49">
        <v>5</v>
      </c>
      <c r="AA9" s="49">
        <v>5</v>
      </c>
      <c r="AB9" s="49">
        <v>5</v>
      </c>
      <c r="AC9" s="49">
        <v>5</v>
      </c>
      <c r="AD9" s="49">
        <v>5</v>
      </c>
      <c r="AE9" s="49">
        <v>5</v>
      </c>
      <c r="AF9" s="49">
        <v>5</v>
      </c>
      <c r="AG9" s="49">
        <v>5</v>
      </c>
      <c r="AH9" s="49">
        <v>5</v>
      </c>
      <c r="AI9" s="49">
        <v>5</v>
      </c>
      <c r="AJ9" s="49">
        <v>5</v>
      </c>
      <c r="AK9" s="49">
        <v>5</v>
      </c>
      <c r="AL9" s="49">
        <v>5</v>
      </c>
      <c r="AM9" s="49">
        <v>5</v>
      </c>
      <c r="AN9" s="49">
        <v>5</v>
      </c>
      <c r="AO9" s="49">
        <v>5</v>
      </c>
      <c r="AP9" s="49">
        <v>5</v>
      </c>
      <c r="AQ9" s="49">
        <v>5</v>
      </c>
      <c r="AR9" s="49">
        <v>5</v>
      </c>
      <c r="AS9" s="49">
        <v>5</v>
      </c>
      <c r="AT9" s="49">
        <v>5</v>
      </c>
      <c r="AU9" s="49">
        <v>5</v>
      </c>
      <c r="AV9" s="49">
        <v>5</v>
      </c>
      <c r="AW9" s="49">
        <v>5</v>
      </c>
      <c r="AX9" s="49">
        <v>5</v>
      </c>
      <c r="AY9" s="49">
        <v>5</v>
      </c>
      <c r="AZ9" s="49">
        <v>5</v>
      </c>
      <c r="BA9" s="49">
        <v>5</v>
      </c>
      <c r="BB9" s="49">
        <v>5</v>
      </c>
      <c r="BC9" s="49">
        <v>5</v>
      </c>
      <c r="BD9" s="49">
        <v>5</v>
      </c>
      <c r="BE9" s="49">
        <v>5</v>
      </c>
      <c r="BF9" s="49">
        <v>5</v>
      </c>
      <c r="BG9" s="49">
        <v>5</v>
      </c>
      <c r="BH9" s="49">
        <v>5</v>
      </c>
      <c r="BI9" s="49">
        <v>5</v>
      </c>
      <c r="BJ9" s="49">
        <v>5</v>
      </c>
      <c r="BK9" s="49">
        <v>5</v>
      </c>
      <c r="BL9" s="49">
        <v>5</v>
      </c>
      <c r="BM9" s="49">
        <v>5</v>
      </c>
      <c r="BN9" s="49">
        <v>5</v>
      </c>
      <c r="BO9" s="49">
        <v>5</v>
      </c>
      <c r="BP9" s="49">
        <v>5</v>
      </c>
      <c r="BQ9" s="49">
        <v>5</v>
      </c>
      <c r="BR9" s="49">
        <v>5</v>
      </c>
      <c r="BS9" s="49">
        <v>5</v>
      </c>
      <c r="BT9" s="49">
        <v>5</v>
      </c>
      <c r="BU9" s="49">
        <v>5</v>
      </c>
      <c r="BV9" s="49">
        <v>5</v>
      </c>
      <c r="BW9" s="49">
        <v>5</v>
      </c>
      <c r="BX9" s="49">
        <v>5</v>
      </c>
      <c r="BY9" s="49">
        <v>5</v>
      </c>
      <c r="BZ9" s="49">
        <v>5</v>
      </c>
      <c r="CA9" s="49">
        <v>5</v>
      </c>
      <c r="CB9" s="49">
        <v>5</v>
      </c>
      <c r="CC9" s="49">
        <v>5</v>
      </c>
      <c r="CD9" s="49">
        <v>5</v>
      </c>
      <c r="CE9" s="49">
        <v>5</v>
      </c>
      <c r="CF9" s="49">
        <v>5</v>
      </c>
      <c r="CG9" s="49">
        <v>5</v>
      </c>
      <c r="CH9" s="49">
        <v>5</v>
      </c>
      <c r="CI9" s="49">
        <v>5</v>
      </c>
      <c r="CJ9" s="49">
        <v>5</v>
      </c>
      <c r="CK9" s="49">
        <v>5</v>
      </c>
      <c r="CL9"/>
      <c r="CN9" s="29"/>
      <c r="CO9" s="37"/>
    </row>
    <row r="10" spans="1:93" ht="15" x14ac:dyDescent="0.25">
      <c r="A10" s="34"/>
      <c r="B10" s="30"/>
      <c r="C10" s="58" t="s">
        <v>187</v>
      </c>
      <c r="D10" s="59" t="s">
        <v>260</v>
      </c>
      <c r="E10" s="54">
        <v>0</v>
      </c>
      <c r="F10" s="49">
        <v>0</v>
      </c>
      <c r="G10" s="49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5</v>
      </c>
      <c r="O10" s="49">
        <v>5</v>
      </c>
      <c r="P10" s="49">
        <v>5</v>
      </c>
      <c r="Q10" s="49">
        <v>5</v>
      </c>
      <c r="R10" s="49">
        <v>5</v>
      </c>
      <c r="S10" s="49">
        <v>5</v>
      </c>
      <c r="T10" s="49">
        <v>5</v>
      </c>
      <c r="U10" s="49">
        <v>5</v>
      </c>
      <c r="V10" s="49">
        <v>5</v>
      </c>
      <c r="W10" s="49">
        <v>5</v>
      </c>
      <c r="X10" s="49">
        <v>5</v>
      </c>
      <c r="Y10" s="49">
        <v>5</v>
      </c>
      <c r="Z10" s="49">
        <v>5</v>
      </c>
      <c r="AA10" s="49">
        <v>5</v>
      </c>
      <c r="AB10" s="49">
        <v>5</v>
      </c>
      <c r="AC10" s="49">
        <v>5</v>
      </c>
      <c r="AD10" s="49">
        <v>5</v>
      </c>
      <c r="AE10" s="49">
        <v>5</v>
      </c>
      <c r="AF10" s="49">
        <v>5</v>
      </c>
      <c r="AG10" s="49">
        <v>5</v>
      </c>
      <c r="AH10" s="49">
        <v>5</v>
      </c>
      <c r="AI10" s="49">
        <v>5</v>
      </c>
      <c r="AJ10" s="49">
        <v>5</v>
      </c>
      <c r="AK10" s="49">
        <v>5</v>
      </c>
      <c r="AL10" s="49">
        <v>5</v>
      </c>
      <c r="AM10" s="49">
        <v>5</v>
      </c>
      <c r="AN10" s="49">
        <v>5</v>
      </c>
      <c r="AO10" s="49">
        <v>5</v>
      </c>
      <c r="AP10" s="49">
        <v>5</v>
      </c>
      <c r="AQ10" s="49">
        <v>5</v>
      </c>
      <c r="AR10" s="49">
        <v>5</v>
      </c>
      <c r="AS10" s="49">
        <v>5</v>
      </c>
      <c r="AT10" s="49">
        <v>5</v>
      </c>
      <c r="AU10" s="49">
        <v>5</v>
      </c>
      <c r="AV10" s="49">
        <v>5</v>
      </c>
      <c r="AW10" s="49">
        <v>5</v>
      </c>
      <c r="AX10" s="49">
        <v>5</v>
      </c>
      <c r="AY10" s="49">
        <v>5</v>
      </c>
      <c r="AZ10" s="49">
        <v>5</v>
      </c>
      <c r="BA10" s="49">
        <v>5</v>
      </c>
      <c r="BB10" s="49">
        <v>5</v>
      </c>
      <c r="BC10" s="49">
        <v>5</v>
      </c>
      <c r="BD10" s="49">
        <v>5</v>
      </c>
      <c r="BE10" s="49">
        <v>5</v>
      </c>
      <c r="BF10" s="49">
        <v>5</v>
      </c>
      <c r="BG10" s="49">
        <v>5</v>
      </c>
      <c r="BH10" s="49">
        <v>5</v>
      </c>
      <c r="BI10" s="49">
        <v>5</v>
      </c>
      <c r="BJ10" s="49">
        <v>5</v>
      </c>
      <c r="BK10" s="49">
        <v>5</v>
      </c>
      <c r="BL10" s="49">
        <v>5</v>
      </c>
      <c r="BM10" s="49">
        <v>5</v>
      </c>
      <c r="BN10" s="49">
        <v>5</v>
      </c>
      <c r="BO10" s="49">
        <v>5</v>
      </c>
      <c r="BP10" s="49">
        <v>5</v>
      </c>
      <c r="BQ10" s="49">
        <v>5</v>
      </c>
      <c r="BR10" s="49">
        <v>5</v>
      </c>
      <c r="BS10" s="49">
        <v>5</v>
      </c>
      <c r="BT10" s="49">
        <v>5</v>
      </c>
      <c r="BU10" s="49">
        <v>5</v>
      </c>
      <c r="BV10" s="49">
        <v>5</v>
      </c>
      <c r="BW10" s="49">
        <v>5</v>
      </c>
      <c r="BX10" s="49">
        <v>5</v>
      </c>
      <c r="BY10" s="49">
        <v>5</v>
      </c>
      <c r="BZ10" s="49">
        <v>5</v>
      </c>
      <c r="CA10" s="49">
        <v>5</v>
      </c>
      <c r="CB10" s="49">
        <v>5</v>
      </c>
      <c r="CC10" s="49">
        <v>5</v>
      </c>
      <c r="CD10" s="49">
        <v>5</v>
      </c>
      <c r="CE10" s="49">
        <v>5</v>
      </c>
      <c r="CF10" s="49">
        <v>5</v>
      </c>
      <c r="CG10" s="49">
        <v>5</v>
      </c>
      <c r="CH10" s="49">
        <v>5</v>
      </c>
      <c r="CI10" s="49">
        <v>5</v>
      </c>
      <c r="CJ10" s="49">
        <v>5</v>
      </c>
      <c r="CK10" s="49">
        <v>5</v>
      </c>
      <c r="CL10"/>
      <c r="CN10" s="29"/>
      <c r="CO10" s="37"/>
    </row>
    <row r="11" spans="1:93" ht="15" x14ac:dyDescent="0.25">
      <c r="A11" s="34"/>
      <c r="B11" s="30"/>
      <c r="C11" s="58" t="s">
        <v>188</v>
      </c>
      <c r="D11" s="59" t="s">
        <v>260</v>
      </c>
      <c r="E11" s="54">
        <v>0</v>
      </c>
      <c r="F11" s="49">
        <v>0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0</v>
      </c>
      <c r="M11" s="49">
        <v>0</v>
      </c>
      <c r="N11" s="49">
        <v>5</v>
      </c>
      <c r="O11" s="49">
        <v>5</v>
      </c>
      <c r="P11" s="49">
        <v>5</v>
      </c>
      <c r="Q11" s="49">
        <v>5</v>
      </c>
      <c r="R11" s="49">
        <v>5</v>
      </c>
      <c r="S11" s="49">
        <v>5</v>
      </c>
      <c r="T11" s="49">
        <v>5</v>
      </c>
      <c r="U11" s="49">
        <v>5</v>
      </c>
      <c r="V11" s="49">
        <v>5</v>
      </c>
      <c r="W11" s="49">
        <v>5</v>
      </c>
      <c r="X11" s="49">
        <v>5</v>
      </c>
      <c r="Y11" s="49">
        <v>5</v>
      </c>
      <c r="Z11" s="49">
        <v>5</v>
      </c>
      <c r="AA11" s="49">
        <v>5</v>
      </c>
      <c r="AB11" s="49">
        <v>5</v>
      </c>
      <c r="AC11" s="49">
        <v>5</v>
      </c>
      <c r="AD11" s="49">
        <v>5</v>
      </c>
      <c r="AE11" s="49">
        <v>5</v>
      </c>
      <c r="AF11" s="49">
        <v>5</v>
      </c>
      <c r="AG11" s="49">
        <v>5</v>
      </c>
      <c r="AH11" s="49">
        <v>5</v>
      </c>
      <c r="AI11" s="49">
        <v>5</v>
      </c>
      <c r="AJ11" s="49">
        <v>5</v>
      </c>
      <c r="AK11" s="49">
        <v>5</v>
      </c>
      <c r="AL11" s="49">
        <v>5</v>
      </c>
      <c r="AM11" s="49">
        <v>5</v>
      </c>
      <c r="AN11" s="49">
        <v>5</v>
      </c>
      <c r="AO11" s="49">
        <v>5</v>
      </c>
      <c r="AP11" s="49">
        <v>5</v>
      </c>
      <c r="AQ11" s="49">
        <v>5</v>
      </c>
      <c r="AR11" s="49">
        <v>5</v>
      </c>
      <c r="AS11" s="49">
        <v>5</v>
      </c>
      <c r="AT11" s="49">
        <v>5</v>
      </c>
      <c r="AU11" s="49">
        <v>5</v>
      </c>
      <c r="AV11" s="49">
        <v>5</v>
      </c>
      <c r="AW11" s="49">
        <v>5</v>
      </c>
      <c r="AX11" s="49">
        <v>5</v>
      </c>
      <c r="AY11" s="49">
        <v>5</v>
      </c>
      <c r="AZ11" s="49">
        <v>5</v>
      </c>
      <c r="BA11" s="49">
        <v>5</v>
      </c>
      <c r="BB11" s="49">
        <v>5</v>
      </c>
      <c r="BC11" s="49">
        <v>5</v>
      </c>
      <c r="BD11" s="49">
        <v>5</v>
      </c>
      <c r="BE11" s="49">
        <v>5</v>
      </c>
      <c r="BF11" s="49">
        <v>5</v>
      </c>
      <c r="BG11" s="49">
        <v>5</v>
      </c>
      <c r="BH11" s="49">
        <v>5</v>
      </c>
      <c r="BI11" s="49">
        <v>5</v>
      </c>
      <c r="BJ11" s="49">
        <v>5</v>
      </c>
      <c r="BK11" s="49">
        <v>5</v>
      </c>
      <c r="BL11" s="49">
        <v>5</v>
      </c>
      <c r="BM11" s="49">
        <v>5</v>
      </c>
      <c r="BN11" s="49">
        <v>5</v>
      </c>
      <c r="BO11" s="49">
        <v>5</v>
      </c>
      <c r="BP11" s="49">
        <v>5</v>
      </c>
      <c r="BQ11" s="49">
        <v>5</v>
      </c>
      <c r="BR11" s="49">
        <v>5</v>
      </c>
      <c r="BS11" s="49">
        <v>5</v>
      </c>
      <c r="BT11" s="49">
        <v>5</v>
      </c>
      <c r="BU11" s="49">
        <v>5</v>
      </c>
      <c r="BV11" s="49">
        <v>5</v>
      </c>
      <c r="BW11" s="49">
        <v>5</v>
      </c>
      <c r="BX11" s="49">
        <v>5</v>
      </c>
      <c r="BY11" s="49">
        <v>5</v>
      </c>
      <c r="BZ11" s="49">
        <v>5</v>
      </c>
      <c r="CA11" s="49">
        <v>5</v>
      </c>
      <c r="CB11" s="49">
        <v>5</v>
      </c>
      <c r="CC11" s="49">
        <v>5</v>
      </c>
      <c r="CD11" s="49">
        <v>5</v>
      </c>
      <c r="CE11" s="49">
        <v>5</v>
      </c>
      <c r="CF11" s="49">
        <v>5</v>
      </c>
      <c r="CG11" s="49">
        <v>5</v>
      </c>
      <c r="CH11" s="49">
        <v>5</v>
      </c>
      <c r="CI11" s="49">
        <v>5</v>
      </c>
      <c r="CJ11" s="49">
        <v>5</v>
      </c>
      <c r="CK11" s="49">
        <v>5</v>
      </c>
      <c r="CL11"/>
      <c r="CN11" s="29"/>
      <c r="CO11" s="37"/>
    </row>
    <row r="12" spans="1:93" ht="15" x14ac:dyDescent="0.25">
      <c r="A12" s="34"/>
      <c r="B12" s="30"/>
      <c r="C12" s="58" t="s">
        <v>189</v>
      </c>
      <c r="D12" s="59" t="s">
        <v>260</v>
      </c>
      <c r="E12" s="54">
        <v>0</v>
      </c>
      <c r="F12" s="49">
        <v>0</v>
      </c>
      <c r="G12" s="49">
        <v>0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M12" s="49">
        <v>0</v>
      </c>
      <c r="N12" s="49">
        <v>5</v>
      </c>
      <c r="O12" s="49">
        <v>5</v>
      </c>
      <c r="P12" s="49">
        <v>5</v>
      </c>
      <c r="Q12" s="49">
        <v>5</v>
      </c>
      <c r="R12" s="49">
        <v>5</v>
      </c>
      <c r="S12" s="49">
        <v>5</v>
      </c>
      <c r="T12" s="49">
        <v>5</v>
      </c>
      <c r="U12" s="49">
        <v>5</v>
      </c>
      <c r="V12" s="49">
        <v>5</v>
      </c>
      <c r="W12" s="49">
        <v>5</v>
      </c>
      <c r="X12" s="49">
        <v>5</v>
      </c>
      <c r="Y12" s="49">
        <v>5</v>
      </c>
      <c r="Z12" s="49">
        <v>5</v>
      </c>
      <c r="AA12" s="49">
        <v>5</v>
      </c>
      <c r="AB12" s="49">
        <v>5</v>
      </c>
      <c r="AC12" s="49">
        <v>5</v>
      </c>
      <c r="AD12" s="49">
        <v>5</v>
      </c>
      <c r="AE12" s="49">
        <v>5</v>
      </c>
      <c r="AF12" s="49">
        <v>5</v>
      </c>
      <c r="AG12" s="49">
        <v>5</v>
      </c>
      <c r="AH12" s="49">
        <v>5</v>
      </c>
      <c r="AI12" s="49">
        <v>5</v>
      </c>
      <c r="AJ12" s="49">
        <v>5</v>
      </c>
      <c r="AK12" s="49">
        <v>5</v>
      </c>
      <c r="AL12" s="49">
        <v>5</v>
      </c>
      <c r="AM12" s="49">
        <v>5</v>
      </c>
      <c r="AN12" s="49">
        <v>5</v>
      </c>
      <c r="AO12" s="49">
        <v>5</v>
      </c>
      <c r="AP12" s="49">
        <v>5</v>
      </c>
      <c r="AQ12" s="49">
        <v>5</v>
      </c>
      <c r="AR12" s="49">
        <v>5</v>
      </c>
      <c r="AS12" s="49">
        <v>5</v>
      </c>
      <c r="AT12" s="49">
        <v>5</v>
      </c>
      <c r="AU12" s="49">
        <v>5</v>
      </c>
      <c r="AV12" s="49">
        <v>5</v>
      </c>
      <c r="AW12" s="49">
        <v>5</v>
      </c>
      <c r="AX12" s="49">
        <v>5</v>
      </c>
      <c r="AY12" s="49">
        <v>5</v>
      </c>
      <c r="AZ12" s="49">
        <v>5</v>
      </c>
      <c r="BA12" s="49">
        <v>5</v>
      </c>
      <c r="BB12" s="49">
        <v>5</v>
      </c>
      <c r="BC12" s="49">
        <v>5</v>
      </c>
      <c r="BD12" s="49">
        <v>5</v>
      </c>
      <c r="BE12" s="49">
        <v>5</v>
      </c>
      <c r="BF12" s="49">
        <v>5</v>
      </c>
      <c r="BG12" s="49">
        <v>5</v>
      </c>
      <c r="BH12" s="49">
        <v>5</v>
      </c>
      <c r="BI12" s="49">
        <v>5</v>
      </c>
      <c r="BJ12" s="49">
        <v>5</v>
      </c>
      <c r="BK12" s="49">
        <v>5</v>
      </c>
      <c r="BL12" s="49">
        <v>5</v>
      </c>
      <c r="BM12" s="49">
        <v>5</v>
      </c>
      <c r="BN12" s="49">
        <v>5</v>
      </c>
      <c r="BO12" s="49">
        <v>5</v>
      </c>
      <c r="BP12" s="49">
        <v>5</v>
      </c>
      <c r="BQ12" s="49">
        <v>5</v>
      </c>
      <c r="BR12" s="49">
        <v>5</v>
      </c>
      <c r="BS12" s="49">
        <v>5</v>
      </c>
      <c r="BT12" s="49">
        <v>5</v>
      </c>
      <c r="BU12" s="49">
        <v>5</v>
      </c>
      <c r="BV12" s="49">
        <v>5</v>
      </c>
      <c r="BW12" s="49">
        <v>5</v>
      </c>
      <c r="BX12" s="49">
        <v>5</v>
      </c>
      <c r="BY12" s="49">
        <v>5</v>
      </c>
      <c r="BZ12" s="49">
        <v>5</v>
      </c>
      <c r="CA12" s="49">
        <v>5</v>
      </c>
      <c r="CB12" s="49">
        <v>5</v>
      </c>
      <c r="CC12" s="49">
        <v>5</v>
      </c>
      <c r="CD12" s="49">
        <v>5</v>
      </c>
      <c r="CE12" s="49">
        <v>5</v>
      </c>
      <c r="CF12" s="49">
        <v>5</v>
      </c>
      <c r="CG12" s="49">
        <v>5</v>
      </c>
      <c r="CH12" s="49">
        <v>5</v>
      </c>
      <c r="CI12" s="49">
        <v>5</v>
      </c>
      <c r="CJ12" s="49">
        <v>5</v>
      </c>
      <c r="CK12" s="49">
        <v>5</v>
      </c>
      <c r="CL12"/>
      <c r="CN12" s="29"/>
      <c r="CO12" s="37"/>
    </row>
    <row r="13" spans="1:93" ht="15" x14ac:dyDescent="0.25">
      <c r="A13" s="34"/>
      <c r="B13" s="30"/>
      <c r="C13" s="58" t="s">
        <v>190</v>
      </c>
      <c r="D13" s="59" t="s">
        <v>260</v>
      </c>
      <c r="E13" s="54">
        <v>0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0</v>
      </c>
      <c r="N13" s="49">
        <v>5</v>
      </c>
      <c r="O13" s="49">
        <v>5</v>
      </c>
      <c r="P13" s="49">
        <v>5</v>
      </c>
      <c r="Q13" s="49">
        <v>5</v>
      </c>
      <c r="R13" s="49">
        <v>5</v>
      </c>
      <c r="S13" s="49">
        <v>5</v>
      </c>
      <c r="T13" s="49">
        <v>5</v>
      </c>
      <c r="U13" s="49">
        <v>5</v>
      </c>
      <c r="V13" s="49">
        <v>5</v>
      </c>
      <c r="W13" s="49">
        <v>5</v>
      </c>
      <c r="X13" s="49">
        <v>5</v>
      </c>
      <c r="Y13" s="49">
        <v>5</v>
      </c>
      <c r="Z13" s="49">
        <v>5</v>
      </c>
      <c r="AA13" s="49">
        <v>5</v>
      </c>
      <c r="AB13" s="49">
        <v>5</v>
      </c>
      <c r="AC13" s="49">
        <v>5</v>
      </c>
      <c r="AD13" s="49">
        <v>5</v>
      </c>
      <c r="AE13" s="49">
        <v>5</v>
      </c>
      <c r="AF13" s="49">
        <v>5</v>
      </c>
      <c r="AG13" s="49">
        <v>5</v>
      </c>
      <c r="AH13" s="49">
        <v>5</v>
      </c>
      <c r="AI13" s="49">
        <v>5</v>
      </c>
      <c r="AJ13" s="49">
        <v>5</v>
      </c>
      <c r="AK13" s="49">
        <v>5</v>
      </c>
      <c r="AL13" s="49">
        <v>5</v>
      </c>
      <c r="AM13" s="49">
        <v>5</v>
      </c>
      <c r="AN13" s="49">
        <v>5</v>
      </c>
      <c r="AO13" s="49">
        <v>5</v>
      </c>
      <c r="AP13" s="49">
        <v>5</v>
      </c>
      <c r="AQ13" s="49">
        <v>5</v>
      </c>
      <c r="AR13" s="49">
        <v>5</v>
      </c>
      <c r="AS13" s="49">
        <v>5</v>
      </c>
      <c r="AT13" s="49">
        <v>5</v>
      </c>
      <c r="AU13" s="49">
        <v>5</v>
      </c>
      <c r="AV13" s="49">
        <v>5</v>
      </c>
      <c r="AW13" s="49">
        <v>5</v>
      </c>
      <c r="AX13" s="49">
        <v>5</v>
      </c>
      <c r="AY13" s="49">
        <v>5</v>
      </c>
      <c r="AZ13" s="49">
        <v>5</v>
      </c>
      <c r="BA13" s="49">
        <v>5</v>
      </c>
      <c r="BB13" s="49">
        <v>5</v>
      </c>
      <c r="BC13" s="49">
        <v>5</v>
      </c>
      <c r="BD13" s="49">
        <v>5</v>
      </c>
      <c r="BE13" s="49">
        <v>5</v>
      </c>
      <c r="BF13" s="49">
        <v>5</v>
      </c>
      <c r="BG13" s="49">
        <v>5</v>
      </c>
      <c r="BH13" s="49">
        <v>5</v>
      </c>
      <c r="BI13" s="49">
        <v>5</v>
      </c>
      <c r="BJ13" s="49">
        <v>5</v>
      </c>
      <c r="BK13" s="49">
        <v>5</v>
      </c>
      <c r="BL13" s="49">
        <v>5</v>
      </c>
      <c r="BM13" s="49">
        <v>5</v>
      </c>
      <c r="BN13" s="49">
        <v>5</v>
      </c>
      <c r="BO13" s="49">
        <v>5</v>
      </c>
      <c r="BP13" s="49">
        <v>5</v>
      </c>
      <c r="BQ13" s="49">
        <v>5</v>
      </c>
      <c r="BR13" s="49">
        <v>5</v>
      </c>
      <c r="BS13" s="49">
        <v>5</v>
      </c>
      <c r="BT13" s="49">
        <v>5</v>
      </c>
      <c r="BU13" s="49">
        <v>5</v>
      </c>
      <c r="BV13" s="49">
        <v>5</v>
      </c>
      <c r="BW13" s="49">
        <v>5</v>
      </c>
      <c r="BX13" s="49">
        <v>5</v>
      </c>
      <c r="BY13" s="49">
        <v>5</v>
      </c>
      <c r="BZ13" s="49">
        <v>5</v>
      </c>
      <c r="CA13" s="49">
        <v>5</v>
      </c>
      <c r="CB13" s="49">
        <v>5</v>
      </c>
      <c r="CC13" s="49">
        <v>5</v>
      </c>
      <c r="CD13" s="49">
        <v>5</v>
      </c>
      <c r="CE13" s="49">
        <v>5</v>
      </c>
      <c r="CF13" s="49">
        <v>5</v>
      </c>
      <c r="CG13" s="49">
        <v>5</v>
      </c>
      <c r="CH13" s="49">
        <v>5</v>
      </c>
      <c r="CI13" s="49">
        <v>5</v>
      </c>
      <c r="CJ13" s="49">
        <v>5</v>
      </c>
      <c r="CK13" s="49">
        <v>5</v>
      </c>
      <c r="CL13"/>
      <c r="CN13" s="29"/>
      <c r="CO13" s="37"/>
    </row>
    <row r="14" spans="1:93" ht="15" x14ac:dyDescent="0.25">
      <c r="A14" s="34"/>
      <c r="B14" s="30"/>
      <c r="C14" s="58" t="s">
        <v>191</v>
      </c>
      <c r="D14" s="59" t="s">
        <v>260</v>
      </c>
      <c r="E14" s="54">
        <v>0</v>
      </c>
      <c r="F14" s="49">
        <v>0</v>
      </c>
      <c r="G14" s="49">
        <v>0</v>
      </c>
      <c r="H14" s="49">
        <v>0</v>
      </c>
      <c r="I14" s="49">
        <v>0</v>
      </c>
      <c r="J14" s="49">
        <v>0</v>
      </c>
      <c r="K14" s="49">
        <v>0</v>
      </c>
      <c r="L14" s="49">
        <v>0</v>
      </c>
      <c r="M14" s="49">
        <v>0</v>
      </c>
      <c r="N14" s="49">
        <v>0</v>
      </c>
      <c r="O14" s="49">
        <v>0</v>
      </c>
      <c r="P14" s="49">
        <v>0</v>
      </c>
      <c r="Q14" s="49">
        <v>0</v>
      </c>
      <c r="R14" s="49">
        <v>0</v>
      </c>
      <c r="S14" s="49">
        <v>0</v>
      </c>
      <c r="T14" s="49">
        <v>0</v>
      </c>
      <c r="U14" s="49">
        <v>0</v>
      </c>
      <c r="V14" s="49">
        <v>0</v>
      </c>
      <c r="W14" s="49">
        <v>0</v>
      </c>
      <c r="X14" s="49">
        <v>0</v>
      </c>
      <c r="Y14" s="49">
        <v>0</v>
      </c>
      <c r="Z14" s="49">
        <v>0</v>
      </c>
      <c r="AA14" s="49">
        <v>0</v>
      </c>
      <c r="AB14" s="49">
        <v>0</v>
      </c>
      <c r="AC14" s="49">
        <v>0</v>
      </c>
      <c r="AD14" s="49">
        <v>0</v>
      </c>
      <c r="AE14" s="49">
        <v>0</v>
      </c>
      <c r="AF14" s="49">
        <v>0</v>
      </c>
      <c r="AG14" s="49">
        <v>0</v>
      </c>
      <c r="AH14" s="49">
        <v>0</v>
      </c>
      <c r="AI14" s="49">
        <v>0</v>
      </c>
      <c r="AJ14" s="49">
        <v>0</v>
      </c>
      <c r="AK14" s="49">
        <v>0</v>
      </c>
      <c r="AL14" s="49">
        <v>0</v>
      </c>
      <c r="AM14" s="49">
        <v>0</v>
      </c>
      <c r="AN14" s="49">
        <v>0</v>
      </c>
      <c r="AO14" s="49">
        <v>0</v>
      </c>
      <c r="AP14" s="49">
        <v>0</v>
      </c>
      <c r="AQ14" s="49">
        <v>0</v>
      </c>
      <c r="AR14" s="49">
        <v>0</v>
      </c>
      <c r="AS14" s="49">
        <v>0</v>
      </c>
      <c r="AT14" s="49">
        <v>0</v>
      </c>
      <c r="AU14" s="49">
        <v>0</v>
      </c>
      <c r="AV14" s="49">
        <v>0</v>
      </c>
      <c r="AW14" s="49">
        <v>0</v>
      </c>
      <c r="AX14" s="49">
        <v>0</v>
      </c>
      <c r="AY14" s="49">
        <v>0</v>
      </c>
      <c r="AZ14" s="49">
        <v>0</v>
      </c>
      <c r="BA14" s="49">
        <v>0</v>
      </c>
      <c r="BB14" s="49">
        <v>0</v>
      </c>
      <c r="BC14" s="49">
        <v>0</v>
      </c>
      <c r="BD14" s="49">
        <v>0</v>
      </c>
      <c r="BE14" s="49">
        <v>0</v>
      </c>
      <c r="BF14" s="49">
        <v>0</v>
      </c>
      <c r="BG14" s="49">
        <v>0</v>
      </c>
      <c r="BH14" s="49">
        <v>0</v>
      </c>
      <c r="BI14" s="49">
        <v>0</v>
      </c>
      <c r="BJ14" s="49">
        <v>0</v>
      </c>
      <c r="BK14" s="49">
        <v>0</v>
      </c>
      <c r="BL14" s="49">
        <v>0</v>
      </c>
      <c r="BM14" s="49">
        <v>0</v>
      </c>
      <c r="BN14" s="49">
        <v>0</v>
      </c>
      <c r="BO14" s="49">
        <v>0</v>
      </c>
      <c r="BP14" s="49">
        <v>0</v>
      </c>
      <c r="BQ14" s="49">
        <v>0</v>
      </c>
      <c r="BR14" s="49">
        <v>0</v>
      </c>
      <c r="BS14" s="49">
        <v>0</v>
      </c>
      <c r="BT14" s="49">
        <v>0</v>
      </c>
      <c r="BU14" s="49">
        <v>0</v>
      </c>
      <c r="BV14" s="49">
        <v>0</v>
      </c>
      <c r="BW14" s="49">
        <v>0</v>
      </c>
      <c r="BX14" s="49">
        <v>0</v>
      </c>
      <c r="BY14" s="49">
        <v>0</v>
      </c>
      <c r="BZ14" s="49">
        <v>0</v>
      </c>
      <c r="CA14" s="49">
        <v>0</v>
      </c>
      <c r="CB14" s="49">
        <v>0</v>
      </c>
      <c r="CC14" s="49">
        <v>0</v>
      </c>
      <c r="CD14" s="49">
        <v>0</v>
      </c>
      <c r="CE14" s="49">
        <v>0</v>
      </c>
      <c r="CF14" s="49">
        <v>0</v>
      </c>
      <c r="CG14" s="49">
        <v>0</v>
      </c>
      <c r="CH14" s="49">
        <v>0</v>
      </c>
      <c r="CI14" s="49">
        <v>0</v>
      </c>
      <c r="CJ14" s="49">
        <v>0</v>
      </c>
      <c r="CK14" s="49">
        <v>0</v>
      </c>
      <c r="CL14"/>
      <c r="CN14" s="29"/>
      <c r="CO14" s="37"/>
    </row>
    <row r="15" spans="1:93" ht="15" x14ac:dyDescent="0.25">
      <c r="A15" s="34"/>
      <c r="B15" s="30"/>
      <c r="C15" s="58" t="s">
        <v>192</v>
      </c>
      <c r="D15" s="59" t="s">
        <v>260</v>
      </c>
      <c r="E15" s="54">
        <v>0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0</v>
      </c>
      <c r="T15" s="49">
        <v>0</v>
      </c>
      <c r="U15" s="49">
        <v>0</v>
      </c>
      <c r="V15" s="49">
        <v>0</v>
      </c>
      <c r="W15" s="49">
        <v>0</v>
      </c>
      <c r="X15" s="49">
        <v>0</v>
      </c>
      <c r="Y15" s="49">
        <v>0</v>
      </c>
      <c r="Z15" s="49">
        <v>0</v>
      </c>
      <c r="AA15" s="49">
        <v>0</v>
      </c>
      <c r="AB15" s="49">
        <v>0</v>
      </c>
      <c r="AC15" s="49">
        <v>0</v>
      </c>
      <c r="AD15" s="49">
        <v>0</v>
      </c>
      <c r="AE15" s="49">
        <v>0</v>
      </c>
      <c r="AF15" s="49">
        <v>0</v>
      </c>
      <c r="AG15" s="49">
        <v>0</v>
      </c>
      <c r="AH15" s="49">
        <v>0</v>
      </c>
      <c r="AI15" s="49">
        <v>0</v>
      </c>
      <c r="AJ15" s="49">
        <v>0</v>
      </c>
      <c r="AK15" s="49">
        <v>0</v>
      </c>
      <c r="AL15" s="49">
        <v>0</v>
      </c>
      <c r="AM15" s="49">
        <v>0</v>
      </c>
      <c r="AN15" s="49">
        <v>0</v>
      </c>
      <c r="AO15" s="49">
        <v>0</v>
      </c>
      <c r="AP15" s="49">
        <v>0</v>
      </c>
      <c r="AQ15" s="49">
        <v>0</v>
      </c>
      <c r="AR15" s="49">
        <v>0</v>
      </c>
      <c r="AS15" s="49">
        <v>0</v>
      </c>
      <c r="AT15" s="49">
        <v>0</v>
      </c>
      <c r="AU15" s="49">
        <v>0</v>
      </c>
      <c r="AV15" s="49">
        <v>0</v>
      </c>
      <c r="AW15" s="49">
        <v>0</v>
      </c>
      <c r="AX15" s="49">
        <v>0</v>
      </c>
      <c r="AY15" s="49">
        <v>0</v>
      </c>
      <c r="AZ15" s="49">
        <v>0</v>
      </c>
      <c r="BA15" s="49">
        <v>0</v>
      </c>
      <c r="BB15" s="49">
        <v>0</v>
      </c>
      <c r="BC15" s="49">
        <v>0</v>
      </c>
      <c r="BD15" s="49">
        <v>0</v>
      </c>
      <c r="BE15" s="49">
        <v>0</v>
      </c>
      <c r="BF15" s="49">
        <v>0</v>
      </c>
      <c r="BG15" s="49">
        <v>0</v>
      </c>
      <c r="BH15" s="49">
        <v>0</v>
      </c>
      <c r="BI15" s="49">
        <v>0</v>
      </c>
      <c r="BJ15" s="49">
        <v>0</v>
      </c>
      <c r="BK15" s="49">
        <v>0</v>
      </c>
      <c r="BL15" s="49">
        <v>0</v>
      </c>
      <c r="BM15" s="49">
        <v>0</v>
      </c>
      <c r="BN15" s="49">
        <v>0</v>
      </c>
      <c r="BO15" s="49">
        <v>0</v>
      </c>
      <c r="BP15" s="49">
        <v>0</v>
      </c>
      <c r="BQ15" s="49">
        <v>0</v>
      </c>
      <c r="BR15" s="49">
        <v>0</v>
      </c>
      <c r="BS15" s="49">
        <v>0</v>
      </c>
      <c r="BT15" s="49">
        <v>0</v>
      </c>
      <c r="BU15" s="49">
        <v>0</v>
      </c>
      <c r="BV15" s="49">
        <v>0</v>
      </c>
      <c r="BW15" s="49">
        <v>0</v>
      </c>
      <c r="BX15" s="49">
        <v>0</v>
      </c>
      <c r="BY15" s="49">
        <v>0</v>
      </c>
      <c r="BZ15" s="49">
        <v>0</v>
      </c>
      <c r="CA15" s="49">
        <v>0</v>
      </c>
      <c r="CB15" s="49">
        <v>0</v>
      </c>
      <c r="CC15" s="49">
        <v>0</v>
      </c>
      <c r="CD15" s="49">
        <v>0</v>
      </c>
      <c r="CE15" s="49">
        <v>0</v>
      </c>
      <c r="CF15" s="49">
        <v>0</v>
      </c>
      <c r="CG15" s="49">
        <v>0</v>
      </c>
      <c r="CH15" s="49">
        <v>0</v>
      </c>
      <c r="CI15" s="49">
        <v>0</v>
      </c>
      <c r="CJ15" s="49">
        <v>0</v>
      </c>
      <c r="CK15" s="49">
        <v>0</v>
      </c>
      <c r="CL15"/>
      <c r="CN15" s="29"/>
      <c r="CO15" s="37"/>
    </row>
    <row r="16" spans="1:93" ht="15" x14ac:dyDescent="0.25">
      <c r="A16" s="34"/>
      <c r="B16" s="30"/>
      <c r="C16" s="58" t="s">
        <v>193</v>
      </c>
      <c r="D16" s="59" t="s">
        <v>260</v>
      </c>
      <c r="E16" s="54">
        <v>0</v>
      </c>
      <c r="F16" s="49">
        <v>0</v>
      </c>
      <c r="G16" s="49">
        <v>0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0</v>
      </c>
      <c r="R16" s="49">
        <v>0</v>
      </c>
      <c r="S16" s="49">
        <v>0</v>
      </c>
      <c r="T16" s="49">
        <v>0</v>
      </c>
      <c r="U16" s="49">
        <v>0</v>
      </c>
      <c r="V16" s="49">
        <v>0</v>
      </c>
      <c r="W16" s="49">
        <v>0</v>
      </c>
      <c r="X16" s="49">
        <v>0</v>
      </c>
      <c r="Y16" s="49">
        <v>0</v>
      </c>
      <c r="Z16" s="49">
        <v>0</v>
      </c>
      <c r="AA16" s="49">
        <v>0</v>
      </c>
      <c r="AB16" s="49">
        <v>0</v>
      </c>
      <c r="AC16" s="49">
        <v>0</v>
      </c>
      <c r="AD16" s="49">
        <v>0</v>
      </c>
      <c r="AE16" s="49">
        <v>0</v>
      </c>
      <c r="AF16" s="49">
        <v>0</v>
      </c>
      <c r="AG16" s="49">
        <v>0</v>
      </c>
      <c r="AH16" s="49">
        <v>0</v>
      </c>
      <c r="AI16" s="49">
        <v>0</v>
      </c>
      <c r="AJ16" s="49">
        <v>0</v>
      </c>
      <c r="AK16" s="49">
        <v>0</v>
      </c>
      <c r="AL16" s="49">
        <v>0</v>
      </c>
      <c r="AM16" s="49">
        <v>0</v>
      </c>
      <c r="AN16" s="49">
        <v>0</v>
      </c>
      <c r="AO16" s="49">
        <v>0</v>
      </c>
      <c r="AP16" s="49">
        <v>0</v>
      </c>
      <c r="AQ16" s="49">
        <v>0</v>
      </c>
      <c r="AR16" s="49">
        <v>0</v>
      </c>
      <c r="AS16" s="49">
        <v>0</v>
      </c>
      <c r="AT16" s="49">
        <v>0</v>
      </c>
      <c r="AU16" s="49">
        <v>0</v>
      </c>
      <c r="AV16" s="49">
        <v>0</v>
      </c>
      <c r="AW16" s="49">
        <v>0</v>
      </c>
      <c r="AX16" s="49">
        <v>0</v>
      </c>
      <c r="AY16" s="49">
        <v>0</v>
      </c>
      <c r="AZ16" s="49">
        <v>0</v>
      </c>
      <c r="BA16" s="49">
        <v>0</v>
      </c>
      <c r="BB16" s="49">
        <v>0</v>
      </c>
      <c r="BC16" s="49">
        <v>0</v>
      </c>
      <c r="BD16" s="49">
        <v>0</v>
      </c>
      <c r="BE16" s="49">
        <v>0</v>
      </c>
      <c r="BF16" s="49">
        <v>0</v>
      </c>
      <c r="BG16" s="49">
        <v>0</v>
      </c>
      <c r="BH16" s="49">
        <v>0</v>
      </c>
      <c r="BI16" s="49">
        <v>0</v>
      </c>
      <c r="BJ16" s="49">
        <v>0</v>
      </c>
      <c r="BK16" s="49">
        <v>0</v>
      </c>
      <c r="BL16" s="49">
        <v>0</v>
      </c>
      <c r="BM16" s="49">
        <v>0</v>
      </c>
      <c r="BN16" s="49">
        <v>0</v>
      </c>
      <c r="BO16" s="49">
        <v>0</v>
      </c>
      <c r="BP16" s="49">
        <v>0</v>
      </c>
      <c r="BQ16" s="49">
        <v>0</v>
      </c>
      <c r="BR16" s="49">
        <v>0</v>
      </c>
      <c r="BS16" s="49">
        <v>0</v>
      </c>
      <c r="BT16" s="49">
        <v>0</v>
      </c>
      <c r="BU16" s="49">
        <v>0</v>
      </c>
      <c r="BV16" s="49">
        <v>0</v>
      </c>
      <c r="BW16" s="49">
        <v>0</v>
      </c>
      <c r="BX16" s="49">
        <v>0</v>
      </c>
      <c r="BY16" s="49">
        <v>0</v>
      </c>
      <c r="BZ16" s="49">
        <v>0</v>
      </c>
      <c r="CA16" s="49">
        <v>0</v>
      </c>
      <c r="CB16" s="49">
        <v>0</v>
      </c>
      <c r="CC16" s="49">
        <v>0</v>
      </c>
      <c r="CD16" s="49">
        <v>0</v>
      </c>
      <c r="CE16" s="49">
        <v>0</v>
      </c>
      <c r="CF16" s="49">
        <v>0</v>
      </c>
      <c r="CG16" s="49">
        <v>0</v>
      </c>
      <c r="CH16" s="49">
        <v>0</v>
      </c>
      <c r="CI16" s="49">
        <v>0</v>
      </c>
      <c r="CJ16" s="49">
        <v>0</v>
      </c>
      <c r="CK16" s="49">
        <v>0</v>
      </c>
      <c r="CL16"/>
      <c r="CN16" s="29"/>
      <c r="CO16" s="37"/>
    </row>
    <row r="17" spans="1:93" ht="15" x14ac:dyDescent="0.25">
      <c r="A17" s="34"/>
      <c r="B17" s="30"/>
      <c r="C17" s="58" t="s">
        <v>194</v>
      </c>
      <c r="D17" s="59" t="s">
        <v>260</v>
      </c>
      <c r="E17" s="54">
        <v>10</v>
      </c>
      <c r="F17" s="49">
        <v>15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49">
        <v>0</v>
      </c>
      <c r="N17" s="49">
        <v>0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49">
        <v>0</v>
      </c>
      <c r="Z17" s="49">
        <v>0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49">
        <v>0</v>
      </c>
      <c r="AL17" s="49">
        <v>0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49">
        <v>0</v>
      </c>
      <c r="AX17" s="49">
        <v>0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I17" s="49">
        <v>0</v>
      </c>
      <c r="BJ17" s="49">
        <v>0</v>
      </c>
      <c r="BK17" s="49">
        <v>0</v>
      </c>
      <c r="BL17" s="49">
        <v>0</v>
      </c>
      <c r="BM17" s="49">
        <v>0</v>
      </c>
      <c r="BN17" s="49">
        <v>0</v>
      </c>
      <c r="BO17" s="49">
        <v>0</v>
      </c>
      <c r="BP17" s="49">
        <v>0</v>
      </c>
      <c r="BQ17" s="49">
        <v>0</v>
      </c>
      <c r="BR17" s="49">
        <v>0</v>
      </c>
      <c r="BS17" s="49">
        <v>0</v>
      </c>
      <c r="BT17" s="49">
        <v>0</v>
      </c>
      <c r="BU17" s="49">
        <v>0</v>
      </c>
      <c r="BV17" s="49">
        <v>0</v>
      </c>
      <c r="BW17" s="49">
        <v>0</v>
      </c>
      <c r="BX17" s="49">
        <v>0</v>
      </c>
      <c r="BY17" s="49">
        <v>0</v>
      </c>
      <c r="BZ17" s="49">
        <v>0</v>
      </c>
      <c r="CA17" s="49">
        <v>0</v>
      </c>
      <c r="CB17" s="49">
        <v>0</v>
      </c>
      <c r="CC17" s="49">
        <v>0</v>
      </c>
      <c r="CD17" s="49">
        <v>0</v>
      </c>
      <c r="CE17" s="49">
        <v>0</v>
      </c>
      <c r="CF17" s="49">
        <v>0</v>
      </c>
      <c r="CG17" s="49">
        <v>0</v>
      </c>
      <c r="CH17" s="49">
        <v>0</v>
      </c>
      <c r="CI17" s="49">
        <v>0</v>
      </c>
      <c r="CJ17" s="49">
        <v>0</v>
      </c>
      <c r="CK17" s="49">
        <v>0</v>
      </c>
      <c r="CL17"/>
      <c r="CN17" s="29"/>
      <c r="CO17" s="37"/>
    </row>
    <row r="18" spans="1:93" ht="15" x14ac:dyDescent="0.25">
      <c r="A18" s="34"/>
      <c r="B18" s="30"/>
      <c r="C18" s="58" t="s">
        <v>195</v>
      </c>
      <c r="D18" s="59" t="s">
        <v>260</v>
      </c>
      <c r="E18" s="54">
        <v>0</v>
      </c>
      <c r="F18" s="49">
        <v>0</v>
      </c>
      <c r="G18" s="49">
        <v>0</v>
      </c>
      <c r="H18" s="49">
        <v>0</v>
      </c>
      <c r="I18" s="49">
        <v>0</v>
      </c>
      <c r="J18" s="49">
        <v>0</v>
      </c>
      <c r="K18" s="49">
        <v>0</v>
      </c>
      <c r="L18" s="49">
        <v>0</v>
      </c>
      <c r="M18" s="49">
        <v>0</v>
      </c>
      <c r="N18" s="49">
        <v>0</v>
      </c>
      <c r="O18" s="49">
        <v>0</v>
      </c>
      <c r="P18" s="49">
        <v>0</v>
      </c>
      <c r="Q18" s="49">
        <v>0</v>
      </c>
      <c r="R18" s="49">
        <v>0</v>
      </c>
      <c r="S18" s="49">
        <v>0</v>
      </c>
      <c r="T18" s="49">
        <v>0</v>
      </c>
      <c r="U18" s="49">
        <v>0</v>
      </c>
      <c r="V18" s="49">
        <v>0</v>
      </c>
      <c r="W18" s="49">
        <v>0</v>
      </c>
      <c r="X18" s="49">
        <v>0</v>
      </c>
      <c r="Y18" s="49">
        <v>0</v>
      </c>
      <c r="Z18" s="49">
        <v>0</v>
      </c>
      <c r="AA18" s="49">
        <v>0</v>
      </c>
      <c r="AB18" s="49">
        <v>0</v>
      </c>
      <c r="AC18" s="49">
        <v>0</v>
      </c>
      <c r="AD18" s="49">
        <v>0</v>
      </c>
      <c r="AE18" s="49">
        <v>0</v>
      </c>
      <c r="AF18" s="49">
        <v>0</v>
      </c>
      <c r="AG18" s="49">
        <v>0</v>
      </c>
      <c r="AH18" s="49">
        <v>0</v>
      </c>
      <c r="AI18" s="49">
        <v>0</v>
      </c>
      <c r="AJ18" s="49">
        <v>0</v>
      </c>
      <c r="AK18" s="49">
        <v>0</v>
      </c>
      <c r="AL18" s="49">
        <v>0</v>
      </c>
      <c r="AM18" s="49">
        <v>0</v>
      </c>
      <c r="AN18" s="49">
        <v>0</v>
      </c>
      <c r="AO18" s="49">
        <v>0</v>
      </c>
      <c r="AP18" s="49">
        <v>0</v>
      </c>
      <c r="AQ18" s="49">
        <v>0</v>
      </c>
      <c r="AR18" s="49">
        <v>0</v>
      </c>
      <c r="AS18" s="49">
        <v>0</v>
      </c>
      <c r="AT18" s="49">
        <v>0</v>
      </c>
      <c r="AU18" s="49">
        <v>0</v>
      </c>
      <c r="AV18" s="49">
        <v>0</v>
      </c>
      <c r="AW18" s="49">
        <v>0</v>
      </c>
      <c r="AX18" s="49">
        <v>0</v>
      </c>
      <c r="AY18" s="49">
        <v>0</v>
      </c>
      <c r="AZ18" s="49">
        <v>0</v>
      </c>
      <c r="BA18" s="49">
        <v>0</v>
      </c>
      <c r="BB18" s="49">
        <v>0</v>
      </c>
      <c r="BC18" s="49">
        <v>0</v>
      </c>
      <c r="BD18" s="49">
        <v>0</v>
      </c>
      <c r="BE18" s="49">
        <v>0</v>
      </c>
      <c r="BF18" s="49">
        <v>0</v>
      </c>
      <c r="BG18" s="49">
        <v>0</v>
      </c>
      <c r="BH18" s="49">
        <v>0</v>
      </c>
      <c r="BI18" s="49">
        <v>0</v>
      </c>
      <c r="BJ18" s="49">
        <v>0</v>
      </c>
      <c r="BK18" s="49">
        <v>0</v>
      </c>
      <c r="BL18" s="49">
        <v>0</v>
      </c>
      <c r="BM18" s="49">
        <v>0</v>
      </c>
      <c r="BN18" s="49">
        <v>0</v>
      </c>
      <c r="BO18" s="49">
        <v>0</v>
      </c>
      <c r="BP18" s="49">
        <v>0</v>
      </c>
      <c r="BQ18" s="49">
        <v>0</v>
      </c>
      <c r="BR18" s="49">
        <v>0</v>
      </c>
      <c r="BS18" s="49">
        <v>0</v>
      </c>
      <c r="BT18" s="49">
        <v>0</v>
      </c>
      <c r="BU18" s="49">
        <v>0</v>
      </c>
      <c r="BV18" s="49">
        <v>0</v>
      </c>
      <c r="BW18" s="49">
        <v>0</v>
      </c>
      <c r="BX18" s="49">
        <v>0</v>
      </c>
      <c r="BY18" s="49">
        <v>0</v>
      </c>
      <c r="BZ18" s="49">
        <v>0</v>
      </c>
      <c r="CA18" s="49">
        <v>0</v>
      </c>
      <c r="CB18" s="49">
        <v>0</v>
      </c>
      <c r="CC18" s="49">
        <v>0</v>
      </c>
      <c r="CD18" s="49">
        <v>0</v>
      </c>
      <c r="CE18" s="49">
        <v>0</v>
      </c>
      <c r="CF18" s="49">
        <v>0</v>
      </c>
      <c r="CG18" s="49">
        <v>0</v>
      </c>
      <c r="CH18" s="49">
        <v>0</v>
      </c>
      <c r="CI18" s="49">
        <v>0</v>
      </c>
      <c r="CJ18" s="49">
        <v>0</v>
      </c>
      <c r="CK18" s="49">
        <v>0</v>
      </c>
      <c r="CL18"/>
      <c r="CN18" s="29"/>
      <c r="CO18" s="37"/>
    </row>
    <row r="19" spans="1:93" ht="15" x14ac:dyDescent="0.25">
      <c r="A19" s="34"/>
      <c r="B19" s="30"/>
      <c r="C19" s="58" t="s">
        <v>196</v>
      </c>
      <c r="D19" s="59" t="s">
        <v>260</v>
      </c>
      <c r="E19" s="54">
        <v>0</v>
      </c>
      <c r="F19" s="49">
        <v>0</v>
      </c>
      <c r="G19" s="49">
        <v>0</v>
      </c>
      <c r="H19" s="49">
        <v>0</v>
      </c>
      <c r="I19" s="49">
        <v>0</v>
      </c>
      <c r="J19" s="49">
        <v>0</v>
      </c>
      <c r="K19" s="49">
        <v>0</v>
      </c>
      <c r="L19" s="49">
        <v>0</v>
      </c>
      <c r="M19" s="49">
        <v>0</v>
      </c>
      <c r="N19" s="49">
        <v>0</v>
      </c>
      <c r="O19" s="49">
        <v>0</v>
      </c>
      <c r="P19" s="49">
        <v>0</v>
      </c>
      <c r="Q19" s="49">
        <v>0</v>
      </c>
      <c r="R19" s="49">
        <v>0</v>
      </c>
      <c r="S19" s="49">
        <v>0</v>
      </c>
      <c r="T19" s="49">
        <v>0</v>
      </c>
      <c r="U19" s="49">
        <v>0</v>
      </c>
      <c r="V19" s="49">
        <v>0</v>
      </c>
      <c r="W19" s="49">
        <v>0</v>
      </c>
      <c r="X19" s="49">
        <v>0</v>
      </c>
      <c r="Y19" s="49">
        <v>0</v>
      </c>
      <c r="Z19" s="49">
        <v>0</v>
      </c>
      <c r="AA19" s="49">
        <v>0</v>
      </c>
      <c r="AB19" s="49">
        <v>0</v>
      </c>
      <c r="AC19" s="49">
        <v>0</v>
      </c>
      <c r="AD19" s="49">
        <v>0</v>
      </c>
      <c r="AE19" s="49">
        <v>0</v>
      </c>
      <c r="AF19" s="49">
        <v>0</v>
      </c>
      <c r="AG19" s="49">
        <v>0</v>
      </c>
      <c r="AH19" s="49">
        <v>0</v>
      </c>
      <c r="AI19" s="49">
        <v>0</v>
      </c>
      <c r="AJ19" s="49">
        <v>0</v>
      </c>
      <c r="AK19" s="49">
        <v>0</v>
      </c>
      <c r="AL19" s="49">
        <v>0</v>
      </c>
      <c r="AM19" s="49">
        <v>0</v>
      </c>
      <c r="AN19" s="49">
        <v>0</v>
      </c>
      <c r="AO19" s="49">
        <v>0</v>
      </c>
      <c r="AP19" s="49">
        <v>0</v>
      </c>
      <c r="AQ19" s="49">
        <v>0</v>
      </c>
      <c r="AR19" s="49">
        <v>0</v>
      </c>
      <c r="AS19" s="49">
        <v>0</v>
      </c>
      <c r="AT19" s="49">
        <v>0</v>
      </c>
      <c r="AU19" s="49">
        <v>0</v>
      </c>
      <c r="AV19" s="49">
        <v>0</v>
      </c>
      <c r="AW19" s="49">
        <v>0</v>
      </c>
      <c r="AX19" s="49">
        <v>0</v>
      </c>
      <c r="AY19" s="49">
        <v>0</v>
      </c>
      <c r="AZ19" s="49">
        <v>0</v>
      </c>
      <c r="BA19" s="49">
        <v>0</v>
      </c>
      <c r="BB19" s="49">
        <v>0</v>
      </c>
      <c r="BC19" s="49">
        <v>0</v>
      </c>
      <c r="BD19" s="49">
        <v>0</v>
      </c>
      <c r="BE19" s="49">
        <v>0</v>
      </c>
      <c r="BF19" s="49">
        <v>0</v>
      </c>
      <c r="BG19" s="49">
        <v>0</v>
      </c>
      <c r="BH19" s="49">
        <v>0</v>
      </c>
      <c r="BI19" s="49">
        <v>0</v>
      </c>
      <c r="BJ19" s="49">
        <v>0</v>
      </c>
      <c r="BK19" s="49">
        <v>0</v>
      </c>
      <c r="BL19" s="49">
        <v>0</v>
      </c>
      <c r="BM19" s="49">
        <v>0</v>
      </c>
      <c r="BN19" s="49">
        <v>0</v>
      </c>
      <c r="BO19" s="49">
        <v>0</v>
      </c>
      <c r="BP19" s="49">
        <v>0</v>
      </c>
      <c r="BQ19" s="49">
        <v>0</v>
      </c>
      <c r="BR19" s="49">
        <v>0</v>
      </c>
      <c r="BS19" s="49">
        <v>0</v>
      </c>
      <c r="BT19" s="49">
        <v>0</v>
      </c>
      <c r="BU19" s="49">
        <v>0</v>
      </c>
      <c r="BV19" s="49">
        <v>0</v>
      </c>
      <c r="BW19" s="49">
        <v>0</v>
      </c>
      <c r="BX19" s="49">
        <v>0</v>
      </c>
      <c r="BY19" s="49">
        <v>0</v>
      </c>
      <c r="BZ19" s="49">
        <v>0</v>
      </c>
      <c r="CA19" s="49">
        <v>0</v>
      </c>
      <c r="CB19" s="49">
        <v>0</v>
      </c>
      <c r="CC19" s="49">
        <v>0</v>
      </c>
      <c r="CD19" s="49">
        <v>0</v>
      </c>
      <c r="CE19" s="49">
        <v>0</v>
      </c>
      <c r="CF19" s="49">
        <v>0</v>
      </c>
      <c r="CG19" s="49">
        <v>0</v>
      </c>
      <c r="CH19" s="49">
        <v>0</v>
      </c>
      <c r="CI19" s="49">
        <v>0</v>
      </c>
      <c r="CJ19" s="49">
        <v>0</v>
      </c>
      <c r="CK19" s="49">
        <v>0</v>
      </c>
      <c r="CL19"/>
      <c r="CN19" s="29"/>
      <c r="CO19" s="37"/>
    </row>
    <row r="20" spans="1:93" ht="15" x14ac:dyDescent="0.25">
      <c r="A20" s="34"/>
      <c r="B20" s="30"/>
      <c r="C20" s="58" t="s">
        <v>197</v>
      </c>
      <c r="D20" s="59" t="s">
        <v>260</v>
      </c>
      <c r="E20" s="54">
        <v>0</v>
      </c>
      <c r="F20" s="49">
        <v>0</v>
      </c>
      <c r="G20" s="49">
        <v>0</v>
      </c>
      <c r="H20" s="49">
        <v>0</v>
      </c>
      <c r="I20" s="49">
        <v>0</v>
      </c>
      <c r="J20" s="49">
        <v>0</v>
      </c>
      <c r="K20" s="49">
        <v>0</v>
      </c>
      <c r="L20" s="49">
        <v>0</v>
      </c>
      <c r="M20" s="49">
        <v>0</v>
      </c>
      <c r="N20" s="49">
        <v>0</v>
      </c>
      <c r="O20" s="49">
        <v>0</v>
      </c>
      <c r="P20" s="49">
        <v>0</v>
      </c>
      <c r="Q20" s="49">
        <v>0</v>
      </c>
      <c r="R20" s="49">
        <v>0</v>
      </c>
      <c r="S20" s="49">
        <v>0</v>
      </c>
      <c r="T20" s="49">
        <v>0</v>
      </c>
      <c r="U20" s="49">
        <v>0</v>
      </c>
      <c r="V20" s="49">
        <v>0</v>
      </c>
      <c r="W20" s="49">
        <v>0</v>
      </c>
      <c r="X20" s="49">
        <v>0</v>
      </c>
      <c r="Y20" s="49">
        <v>0</v>
      </c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49">
        <v>0</v>
      </c>
      <c r="AF20" s="49">
        <v>0</v>
      </c>
      <c r="AG20" s="49">
        <v>0</v>
      </c>
      <c r="AH20" s="49">
        <v>0</v>
      </c>
      <c r="AI20" s="49">
        <v>0</v>
      </c>
      <c r="AJ20" s="49">
        <v>0</v>
      </c>
      <c r="AK20" s="49">
        <v>0</v>
      </c>
      <c r="AL20" s="49">
        <v>0</v>
      </c>
      <c r="AM20" s="49">
        <v>0</v>
      </c>
      <c r="AN20" s="49">
        <v>0</v>
      </c>
      <c r="AO20" s="49">
        <v>0</v>
      </c>
      <c r="AP20" s="49">
        <v>0</v>
      </c>
      <c r="AQ20" s="49">
        <v>0</v>
      </c>
      <c r="AR20" s="49">
        <v>0</v>
      </c>
      <c r="AS20" s="49">
        <v>0</v>
      </c>
      <c r="AT20" s="49">
        <v>0</v>
      </c>
      <c r="AU20" s="49">
        <v>0</v>
      </c>
      <c r="AV20" s="49">
        <v>0</v>
      </c>
      <c r="AW20" s="49">
        <v>0</v>
      </c>
      <c r="AX20" s="49">
        <v>0</v>
      </c>
      <c r="AY20" s="49">
        <v>0</v>
      </c>
      <c r="AZ20" s="49">
        <v>0</v>
      </c>
      <c r="BA20" s="49">
        <v>0</v>
      </c>
      <c r="BB20" s="49">
        <v>0</v>
      </c>
      <c r="BC20" s="49">
        <v>0</v>
      </c>
      <c r="BD20" s="49">
        <v>0</v>
      </c>
      <c r="BE20" s="49">
        <v>0</v>
      </c>
      <c r="BF20" s="49">
        <v>0</v>
      </c>
      <c r="BG20" s="49">
        <v>0</v>
      </c>
      <c r="BH20" s="49">
        <v>0</v>
      </c>
      <c r="BI20" s="49">
        <v>0</v>
      </c>
      <c r="BJ20" s="49">
        <v>0</v>
      </c>
      <c r="BK20" s="49">
        <v>0</v>
      </c>
      <c r="BL20" s="49">
        <v>0</v>
      </c>
      <c r="BM20" s="49">
        <v>0</v>
      </c>
      <c r="BN20" s="49">
        <v>0</v>
      </c>
      <c r="BO20" s="49">
        <v>0</v>
      </c>
      <c r="BP20" s="49">
        <v>0</v>
      </c>
      <c r="BQ20" s="49">
        <v>0</v>
      </c>
      <c r="BR20" s="49">
        <v>0</v>
      </c>
      <c r="BS20" s="49">
        <v>0</v>
      </c>
      <c r="BT20" s="49">
        <v>0</v>
      </c>
      <c r="BU20" s="49">
        <v>0</v>
      </c>
      <c r="BV20" s="49">
        <v>0</v>
      </c>
      <c r="BW20" s="49">
        <v>0</v>
      </c>
      <c r="BX20" s="49">
        <v>0</v>
      </c>
      <c r="BY20" s="49">
        <v>0</v>
      </c>
      <c r="BZ20" s="49">
        <v>0</v>
      </c>
      <c r="CA20" s="49">
        <v>0</v>
      </c>
      <c r="CB20" s="49">
        <v>0</v>
      </c>
      <c r="CC20" s="49">
        <v>0</v>
      </c>
      <c r="CD20" s="49">
        <v>0</v>
      </c>
      <c r="CE20" s="49">
        <v>0</v>
      </c>
      <c r="CF20" s="49">
        <v>0</v>
      </c>
      <c r="CG20" s="49">
        <v>0</v>
      </c>
      <c r="CH20" s="49">
        <v>0</v>
      </c>
      <c r="CI20" s="49">
        <v>0</v>
      </c>
      <c r="CJ20" s="49">
        <v>0</v>
      </c>
      <c r="CK20" s="49">
        <v>0</v>
      </c>
      <c r="CL20"/>
      <c r="CN20" s="29"/>
      <c r="CO20" s="37"/>
    </row>
    <row r="21" spans="1:93" ht="15" x14ac:dyDescent="0.25">
      <c r="A21" s="34"/>
      <c r="B21" s="30"/>
      <c r="C21" s="58" t="s">
        <v>198</v>
      </c>
      <c r="D21" s="59" t="s">
        <v>260</v>
      </c>
      <c r="E21" s="54">
        <v>0</v>
      </c>
      <c r="F21" s="49">
        <v>0</v>
      </c>
      <c r="G21" s="49">
        <v>0</v>
      </c>
      <c r="H21" s="49">
        <v>0</v>
      </c>
      <c r="I21" s="49">
        <v>0</v>
      </c>
      <c r="J21" s="49">
        <v>0</v>
      </c>
      <c r="K21" s="49">
        <v>0</v>
      </c>
      <c r="L21" s="49">
        <v>0</v>
      </c>
      <c r="M21" s="49">
        <v>0</v>
      </c>
      <c r="N21" s="49">
        <v>0</v>
      </c>
      <c r="O21" s="49">
        <v>0</v>
      </c>
      <c r="P21" s="49">
        <v>0</v>
      </c>
      <c r="Q21" s="49">
        <v>0</v>
      </c>
      <c r="R21" s="49">
        <v>0</v>
      </c>
      <c r="S21" s="49">
        <v>0</v>
      </c>
      <c r="T21" s="49">
        <v>0</v>
      </c>
      <c r="U21" s="49">
        <v>0</v>
      </c>
      <c r="V21" s="49">
        <v>0</v>
      </c>
      <c r="W21" s="49">
        <v>0</v>
      </c>
      <c r="X21" s="49">
        <v>0</v>
      </c>
      <c r="Y21" s="49">
        <v>0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0</v>
      </c>
      <c r="AF21" s="49">
        <v>0</v>
      </c>
      <c r="AG21" s="49">
        <v>0</v>
      </c>
      <c r="AH21" s="49">
        <v>0</v>
      </c>
      <c r="AI21" s="49">
        <v>0</v>
      </c>
      <c r="AJ21" s="49">
        <v>0</v>
      </c>
      <c r="AK21" s="49">
        <v>0</v>
      </c>
      <c r="AL21" s="49">
        <v>0</v>
      </c>
      <c r="AM21" s="49">
        <v>0</v>
      </c>
      <c r="AN21" s="49">
        <v>0</v>
      </c>
      <c r="AO21" s="49">
        <v>0</v>
      </c>
      <c r="AP21" s="49">
        <v>0</v>
      </c>
      <c r="AQ21" s="49">
        <v>0</v>
      </c>
      <c r="AR21" s="49">
        <v>0</v>
      </c>
      <c r="AS21" s="49">
        <v>0</v>
      </c>
      <c r="AT21" s="49">
        <v>0</v>
      </c>
      <c r="AU21" s="49">
        <v>0</v>
      </c>
      <c r="AV21" s="49">
        <v>0</v>
      </c>
      <c r="AW21" s="49">
        <v>0</v>
      </c>
      <c r="AX21" s="49">
        <v>0</v>
      </c>
      <c r="AY21" s="49">
        <v>0</v>
      </c>
      <c r="AZ21" s="49">
        <v>0</v>
      </c>
      <c r="BA21" s="49">
        <v>0</v>
      </c>
      <c r="BB21" s="49">
        <v>0</v>
      </c>
      <c r="BC21" s="49">
        <v>0</v>
      </c>
      <c r="BD21" s="49">
        <v>0</v>
      </c>
      <c r="BE21" s="49">
        <v>0</v>
      </c>
      <c r="BF21" s="49">
        <v>0</v>
      </c>
      <c r="BG21" s="49">
        <v>0</v>
      </c>
      <c r="BH21" s="49">
        <v>0</v>
      </c>
      <c r="BI21" s="49">
        <v>0</v>
      </c>
      <c r="BJ21" s="49">
        <v>0</v>
      </c>
      <c r="BK21" s="49">
        <v>0</v>
      </c>
      <c r="BL21" s="49">
        <v>0</v>
      </c>
      <c r="BM21" s="49">
        <v>0</v>
      </c>
      <c r="BN21" s="49">
        <v>0</v>
      </c>
      <c r="BO21" s="49">
        <v>0</v>
      </c>
      <c r="BP21" s="49">
        <v>0</v>
      </c>
      <c r="BQ21" s="49">
        <v>0</v>
      </c>
      <c r="BR21" s="49">
        <v>0</v>
      </c>
      <c r="BS21" s="49">
        <v>0</v>
      </c>
      <c r="BT21" s="49">
        <v>0</v>
      </c>
      <c r="BU21" s="49">
        <v>0</v>
      </c>
      <c r="BV21" s="49">
        <v>0</v>
      </c>
      <c r="BW21" s="49">
        <v>0</v>
      </c>
      <c r="BX21" s="49">
        <v>0</v>
      </c>
      <c r="BY21" s="49">
        <v>0</v>
      </c>
      <c r="BZ21" s="49">
        <v>0</v>
      </c>
      <c r="CA21" s="49">
        <v>0</v>
      </c>
      <c r="CB21" s="49">
        <v>0</v>
      </c>
      <c r="CC21" s="49">
        <v>0</v>
      </c>
      <c r="CD21" s="49">
        <v>0</v>
      </c>
      <c r="CE21" s="49">
        <v>0</v>
      </c>
      <c r="CF21" s="49">
        <v>0</v>
      </c>
      <c r="CG21" s="49">
        <v>0</v>
      </c>
      <c r="CH21" s="49">
        <v>0</v>
      </c>
      <c r="CI21" s="49">
        <v>0</v>
      </c>
      <c r="CJ21" s="49">
        <v>0</v>
      </c>
      <c r="CK21" s="49">
        <v>0</v>
      </c>
      <c r="CL21"/>
      <c r="CN21" s="29"/>
      <c r="CO21" s="37"/>
    </row>
    <row r="22" spans="1:93" ht="15" x14ac:dyDescent="0.25">
      <c r="A22" s="34"/>
      <c r="B22" s="30"/>
      <c r="C22" s="58" t="s">
        <v>199</v>
      </c>
      <c r="D22" s="59" t="s">
        <v>260</v>
      </c>
      <c r="E22" s="54">
        <v>0</v>
      </c>
      <c r="F22" s="49">
        <v>0</v>
      </c>
      <c r="G22" s="49">
        <v>0</v>
      </c>
      <c r="H22" s="49">
        <v>0</v>
      </c>
      <c r="I22" s="49">
        <v>0</v>
      </c>
      <c r="J22" s="49">
        <v>0</v>
      </c>
      <c r="K22" s="49">
        <v>0</v>
      </c>
      <c r="L22" s="49">
        <v>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0</v>
      </c>
      <c r="V22" s="49">
        <v>0</v>
      </c>
      <c r="W22" s="49">
        <v>0</v>
      </c>
      <c r="X22" s="49">
        <v>0</v>
      </c>
      <c r="Y22" s="49">
        <v>0</v>
      </c>
      <c r="Z22" s="49">
        <v>0</v>
      </c>
      <c r="AA22" s="49">
        <v>0</v>
      </c>
      <c r="AB22" s="49">
        <v>0</v>
      </c>
      <c r="AC22" s="49">
        <v>0</v>
      </c>
      <c r="AD22" s="49">
        <v>0</v>
      </c>
      <c r="AE22" s="49">
        <v>0</v>
      </c>
      <c r="AF22" s="49">
        <v>0</v>
      </c>
      <c r="AG22" s="49">
        <v>0</v>
      </c>
      <c r="AH22" s="49">
        <v>0</v>
      </c>
      <c r="AI22" s="49">
        <v>0</v>
      </c>
      <c r="AJ22" s="49">
        <v>0</v>
      </c>
      <c r="AK22" s="49">
        <v>0</v>
      </c>
      <c r="AL22" s="49">
        <v>0</v>
      </c>
      <c r="AM22" s="49">
        <v>0</v>
      </c>
      <c r="AN22" s="49">
        <v>0</v>
      </c>
      <c r="AO22" s="49">
        <v>0</v>
      </c>
      <c r="AP22" s="49">
        <v>0</v>
      </c>
      <c r="AQ22" s="49">
        <v>0</v>
      </c>
      <c r="AR22" s="49">
        <v>0</v>
      </c>
      <c r="AS22" s="49">
        <v>0</v>
      </c>
      <c r="AT22" s="49">
        <v>0</v>
      </c>
      <c r="AU22" s="49">
        <v>0</v>
      </c>
      <c r="AV22" s="49">
        <v>0</v>
      </c>
      <c r="AW22" s="49">
        <v>0</v>
      </c>
      <c r="AX22" s="49">
        <v>0</v>
      </c>
      <c r="AY22" s="49">
        <v>0</v>
      </c>
      <c r="AZ22" s="49">
        <v>0</v>
      </c>
      <c r="BA22" s="49">
        <v>0</v>
      </c>
      <c r="BB22" s="49">
        <v>0</v>
      </c>
      <c r="BC22" s="49">
        <v>0</v>
      </c>
      <c r="BD22" s="49">
        <v>0</v>
      </c>
      <c r="BE22" s="49">
        <v>0</v>
      </c>
      <c r="BF22" s="49">
        <v>0</v>
      </c>
      <c r="BG22" s="49">
        <v>0</v>
      </c>
      <c r="BH22" s="49">
        <v>0</v>
      </c>
      <c r="BI22" s="49">
        <v>0</v>
      </c>
      <c r="BJ22" s="49">
        <v>0</v>
      </c>
      <c r="BK22" s="49">
        <v>0</v>
      </c>
      <c r="BL22" s="49">
        <v>0</v>
      </c>
      <c r="BM22" s="49">
        <v>0</v>
      </c>
      <c r="BN22" s="49">
        <v>0</v>
      </c>
      <c r="BO22" s="49">
        <v>0</v>
      </c>
      <c r="BP22" s="49">
        <v>0</v>
      </c>
      <c r="BQ22" s="49">
        <v>0</v>
      </c>
      <c r="BR22" s="49">
        <v>0</v>
      </c>
      <c r="BS22" s="49">
        <v>0</v>
      </c>
      <c r="BT22" s="49">
        <v>0</v>
      </c>
      <c r="BU22" s="49">
        <v>0</v>
      </c>
      <c r="BV22" s="49">
        <v>0</v>
      </c>
      <c r="BW22" s="49">
        <v>0</v>
      </c>
      <c r="BX22" s="49">
        <v>0</v>
      </c>
      <c r="BY22" s="49">
        <v>0</v>
      </c>
      <c r="BZ22" s="49">
        <v>0</v>
      </c>
      <c r="CA22" s="49">
        <v>0</v>
      </c>
      <c r="CB22" s="49">
        <v>0</v>
      </c>
      <c r="CC22" s="49">
        <v>0</v>
      </c>
      <c r="CD22" s="49">
        <v>0</v>
      </c>
      <c r="CE22" s="49">
        <v>0</v>
      </c>
      <c r="CF22" s="49">
        <v>0</v>
      </c>
      <c r="CG22" s="49">
        <v>0</v>
      </c>
      <c r="CH22" s="49">
        <v>0</v>
      </c>
      <c r="CI22" s="49">
        <v>0</v>
      </c>
      <c r="CJ22" s="49">
        <v>0</v>
      </c>
      <c r="CK22" s="49">
        <v>0</v>
      </c>
      <c r="CL22"/>
      <c r="CN22" s="29"/>
      <c r="CO22" s="37"/>
    </row>
    <row r="23" spans="1:93" ht="15" x14ac:dyDescent="0.25">
      <c r="A23" s="34"/>
      <c r="B23" s="30"/>
      <c r="C23" s="58" t="s">
        <v>200</v>
      </c>
      <c r="D23" s="59" t="s">
        <v>260</v>
      </c>
      <c r="E23" s="54">
        <v>0</v>
      </c>
      <c r="F23" s="49">
        <v>0</v>
      </c>
      <c r="G23" s="49">
        <v>0</v>
      </c>
      <c r="H23" s="49">
        <v>0</v>
      </c>
      <c r="I23" s="49">
        <v>0</v>
      </c>
      <c r="J23" s="49">
        <v>0</v>
      </c>
      <c r="K23" s="49">
        <v>0</v>
      </c>
      <c r="L23" s="49">
        <v>0</v>
      </c>
      <c r="M23" s="49">
        <v>0</v>
      </c>
      <c r="N23" s="49">
        <v>0</v>
      </c>
      <c r="O23" s="49">
        <v>0</v>
      </c>
      <c r="P23" s="49">
        <v>0</v>
      </c>
      <c r="Q23" s="49">
        <v>0</v>
      </c>
      <c r="R23" s="49">
        <v>0</v>
      </c>
      <c r="S23" s="49">
        <v>0</v>
      </c>
      <c r="T23" s="49">
        <v>0</v>
      </c>
      <c r="U23" s="49">
        <v>0</v>
      </c>
      <c r="V23" s="49">
        <v>0</v>
      </c>
      <c r="W23" s="49">
        <v>0</v>
      </c>
      <c r="X23" s="49">
        <v>0</v>
      </c>
      <c r="Y23" s="49">
        <v>0</v>
      </c>
      <c r="Z23" s="49">
        <v>0</v>
      </c>
      <c r="AA23" s="49">
        <v>0</v>
      </c>
      <c r="AB23" s="49">
        <v>0</v>
      </c>
      <c r="AC23" s="49">
        <v>0</v>
      </c>
      <c r="AD23" s="49">
        <v>0</v>
      </c>
      <c r="AE23" s="49">
        <v>0</v>
      </c>
      <c r="AF23" s="49">
        <v>0</v>
      </c>
      <c r="AG23" s="49">
        <v>0</v>
      </c>
      <c r="AH23" s="49">
        <v>0</v>
      </c>
      <c r="AI23" s="49">
        <v>0</v>
      </c>
      <c r="AJ23" s="49">
        <v>0</v>
      </c>
      <c r="AK23" s="49">
        <v>0</v>
      </c>
      <c r="AL23" s="49">
        <v>0</v>
      </c>
      <c r="AM23" s="49">
        <v>0</v>
      </c>
      <c r="AN23" s="49">
        <v>0</v>
      </c>
      <c r="AO23" s="49">
        <v>0</v>
      </c>
      <c r="AP23" s="49">
        <v>0</v>
      </c>
      <c r="AQ23" s="49">
        <v>0</v>
      </c>
      <c r="AR23" s="49">
        <v>0</v>
      </c>
      <c r="AS23" s="49">
        <v>0</v>
      </c>
      <c r="AT23" s="49">
        <v>0</v>
      </c>
      <c r="AU23" s="49">
        <v>0</v>
      </c>
      <c r="AV23" s="49">
        <v>0</v>
      </c>
      <c r="AW23" s="49">
        <v>0</v>
      </c>
      <c r="AX23" s="49">
        <v>0</v>
      </c>
      <c r="AY23" s="49">
        <v>0</v>
      </c>
      <c r="AZ23" s="49">
        <v>0</v>
      </c>
      <c r="BA23" s="49">
        <v>0</v>
      </c>
      <c r="BB23" s="49">
        <v>0</v>
      </c>
      <c r="BC23" s="49">
        <v>0</v>
      </c>
      <c r="BD23" s="49">
        <v>0</v>
      </c>
      <c r="BE23" s="49">
        <v>0</v>
      </c>
      <c r="BF23" s="49">
        <v>0</v>
      </c>
      <c r="BG23" s="49">
        <v>0</v>
      </c>
      <c r="BH23" s="49">
        <v>0</v>
      </c>
      <c r="BI23" s="49">
        <v>0</v>
      </c>
      <c r="BJ23" s="49">
        <v>0</v>
      </c>
      <c r="BK23" s="49">
        <v>0</v>
      </c>
      <c r="BL23" s="49">
        <v>0</v>
      </c>
      <c r="BM23" s="49">
        <v>0</v>
      </c>
      <c r="BN23" s="49">
        <v>0</v>
      </c>
      <c r="BO23" s="49">
        <v>0</v>
      </c>
      <c r="BP23" s="49">
        <v>0</v>
      </c>
      <c r="BQ23" s="49">
        <v>0</v>
      </c>
      <c r="BR23" s="49">
        <v>0</v>
      </c>
      <c r="BS23" s="49">
        <v>0</v>
      </c>
      <c r="BT23" s="49">
        <v>0</v>
      </c>
      <c r="BU23" s="49">
        <v>0</v>
      </c>
      <c r="BV23" s="49">
        <v>0</v>
      </c>
      <c r="BW23" s="49">
        <v>0</v>
      </c>
      <c r="BX23" s="49">
        <v>0</v>
      </c>
      <c r="BY23" s="49">
        <v>0</v>
      </c>
      <c r="BZ23" s="49">
        <v>0</v>
      </c>
      <c r="CA23" s="49">
        <v>0</v>
      </c>
      <c r="CB23" s="49">
        <v>0</v>
      </c>
      <c r="CC23" s="49">
        <v>0</v>
      </c>
      <c r="CD23" s="49">
        <v>0</v>
      </c>
      <c r="CE23" s="49">
        <v>0</v>
      </c>
      <c r="CF23" s="49">
        <v>0</v>
      </c>
      <c r="CG23" s="49">
        <v>0</v>
      </c>
      <c r="CH23" s="49">
        <v>0</v>
      </c>
      <c r="CI23" s="49">
        <v>0</v>
      </c>
      <c r="CJ23" s="49">
        <v>0</v>
      </c>
      <c r="CK23" s="49">
        <v>0</v>
      </c>
      <c r="CL23"/>
      <c r="CN23" s="29"/>
      <c r="CO23" s="37"/>
    </row>
    <row r="24" spans="1:93" ht="15" x14ac:dyDescent="0.25">
      <c r="A24" s="34"/>
      <c r="B24" s="30"/>
      <c r="C24" s="58" t="s">
        <v>201</v>
      </c>
      <c r="D24" s="59" t="s">
        <v>260</v>
      </c>
      <c r="E24" s="54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0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0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49">
        <v>0</v>
      </c>
      <c r="BW24" s="49">
        <v>0</v>
      </c>
      <c r="BX24" s="49">
        <v>0</v>
      </c>
      <c r="BY24" s="49">
        <v>0</v>
      </c>
      <c r="BZ24" s="49">
        <v>0</v>
      </c>
      <c r="CA24" s="49">
        <v>0</v>
      </c>
      <c r="CB24" s="49">
        <v>0</v>
      </c>
      <c r="CC24" s="49">
        <v>0</v>
      </c>
      <c r="CD24" s="49">
        <v>0</v>
      </c>
      <c r="CE24" s="49">
        <v>0</v>
      </c>
      <c r="CF24" s="49">
        <v>0</v>
      </c>
      <c r="CG24" s="49">
        <v>0</v>
      </c>
      <c r="CH24" s="49">
        <v>0</v>
      </c>
      <c r="CI24" s="49">
        <v>0</v>
      </c>
      <c r="CJ24" s="49">
        <v>0</v>
      </c>
      <c r="CK24" s="49">
        <v>0</v>
      </c>
      <c r="CL24"/>
      <c r="CN24" s="29"/>
      <c r="CO24" s="37"/>
    </row>
    <row r="25" spans="1:93" ht="15" x14ac:dyDescent="0.25">
      <c r="A25" s="34"/>
      <c r="B25" s="30"/>
      <c r="C25" s="58" t="s">
        <v>202</v>
      </c>
      <c r="D25" s="59" t="s">
        <v>260</v>
      </c>
      <c r="E25" s="54">
        <v>0</v>
      </c>
      <c r="F25" s="49">
        <v>0</v>
      </c>
      <c r="G25" s="49">
        <v>0</v>
      </c>
      <c r="H25" s="49">
        <v>0</v>
      </c>
      <c r="I25" s="49">
        <v>0</v>
      </c>
      <c r="J25" s="49">
        <v>0</v>
      </c>
      <c r="K25" s="49">
        <v>0</v>
      </c>
      <c r="L25" s="49">
        <v>0</v>
      </c>
      <c r="M25" s="49">
        <v>0</v>
      </c>
      <c r="N25" s="49">
        <v>0</v>
      </c>
      <c r="O25" s="49">
        <v>0</v>
      </c>
      <c r="P25" s="49">
        <v>0</v>
      </c>
      <c r="Q25" s="49">
        <v>0</v>
      </c>
      <c r="R25" s="49">
        <v>0</v>
      </c>
      <c r="S25" s="49">
        <v>0</v>
      </c>
      <c r="T25" s="49">
        <v>0</v>
      </c>
      <c r="U25" s="49">
        <v>0</v>
      </c>
      <c r="V25" s="49">
        <v>0</v>
      </c>
      <c r="W25" s="49">
        <v>0</v>
      </c>
      <c r="X25" s="49">
        <v>0</v>
      </c>
      <c r="Y25" s="49">
        <v>0</v>
      </c>
      <c r="Z25" s="49">
        <v>0</v>
      </c>
      <c r="AA25" s="49">
        <v>0</v>
      </c>
      <c r="AB25" s="49">
        <v>0</v>
      </c>
      <c r="AC25" s="49">
        <v>0</v>
      </c>
      <c r="AD25" s="49">
        <v>0</v>
      </c>
      <c r="AE25" s="49">
        <v>0</v>
      </c>
      <c r="AF25" s="49">
        <v>0</v>
      </c>
      <c r="AG25" s="49">
        <v>0</v>
      </c>
      <c r="AH25" s="49">
        <v>0</v>
      </c>
      <c r="AI25" s="49">
        <v>0</v>
      </c>
      <c r="AJ25" s="49">
        <v>0</v>
      </c>
      <c r="AK25" s="49">
        <v>0</v>
      </c>
      <c r="AL25" s="49">
        <v>0</v>
      </c>
      <c r="AM25" s="49">
        <v>0</v>
      </c>
      <c r="AN25" s="49">
        <v>0</v>
      </c>
      <c r="AO25" s="49">
        <v>0</v>
      </c>
      <c r="AP25" s="49">
        <v>0</v>
      </c>
      <c r="AQ25" s="49">
        <v>0</v>
      </c>
      <c r="AR25" s="49">
        <v>0</v>
      </c>
      <c r="AS25" s="49">
        <v>0</v>
      </c>
      <c r="AT25" s="49">
        <v>0</v>
      </c>
      <c r="AU25" s="49">
        <v>0</v>
      </c>
      <c r="AV25" s="49">
        <v>0</v>
      </c>
      <c r="AW25" s="49">
        <v>0</v>
      </c>
      <c r="AX25" s="49">
        <v>0</v>
      </c>
      <c r="AY25" s="49">
        <v>0</v>
      </c>
      <c r="AZ25" s="49">
        <v>0</v>
      </c>
      <c r="BA25" s="49">
        <v>0</v>
      </c>
      <c r="BB25" s="49">
        <v>0</v>
      </c>
      <c r="BC25" s="49">
        <v>0</v>
      </c>
      <c r="BD25" s="49">
        <v>0</v>
      </c>
      <c r="BE25" s="49">
        <v>0</v>
      </c>
      <c r="BF25" s="49">
        <v>0</v>
      </c>
      <c r="BG25" s="49">
        <v>0</v>
      </c>
      <c r="BH25" s="49">
        <v>0</v>
      </c>
      <c r="BI25" s="49">
        <v>0</v>
      </c>
      <c r="BJ25" s="49">
        <v>0</v>
      </c>
      <c r="BK25" s="49">
        <v>0</v>
      </c>
      <c r="BL25" s="49">
        <v>0</v>
      </c>
      <c r="BM25" s="49">
        <v>0</v>
      </c>
      <c r="BN25" s="49">
        <v>0</v>
      </c>
      <c r="BO25" s="49">
        <v>0</v>
      </c>
      <c r="BP25" s="49">
        <v>0</v>
      </c>
      <c r="BQ25" s="49">
        <v>0</v>
      </c>
      <c r="BR25" s="49">
        <v>0</v>
      </c>
      <c r="BS25" s="49">
        <v>0</v>
      </c>
      <c r="BT25" s="49">
        <v>0</v>
      </c>
      <c r="BU25" s="49">
        <v>0</v>
      </c>
      <c r="BV25" s="49">
        <v>0</v>
      </c>
      <c r="BW25" s="49">
        <v>0</v>
      </c>
      <c r="BX25" s="49">
        <v>0</v>
      </c>
      <c r="BY25" s="49">
        <v>0</v>
      </c>
      <c r="BZ25" s="49">
        <v>0</v>
      </c>
      <c r="CA25" s="49">
        <v>0</v>
      </c>
      <c r="CB25" s="49">
        <v>0</v>
      </c>
      <c r="CC25" s="49">
        <v>0</v>
      </c>
      <c r="CD25" s="49">
        <v>0</v>
      </c>
      <c r="CE25" s="49">
        <v>0</v>
      </c>
      <c r="CF25" s="49">
        <v>0</v>
      </c>
      <c r="CG25" s="49">
        <v>0</v>
      </c>
      <c r="CH25" s="49">
        <v>0</v>
      </c>
      <c r="CI25" s="49">
        <v>0</v>
      </c>
      <c r="CJ25" s="49">
        <v>0</v>
      </c>
      <c r="CK25" s="49">
        <v>0</v>
      </c>
      <c r="CL25"/>
      <c r="CN25" s="29"/>
      <c r="CO25" s="37"/>
    </row>
    <row r="26" spans="1:93" ht="15" x14ac:dyDescent="0.25">
      <c r="A26" s="34"/>
      <c r="B26" s="30"/>
      <c r="C26" s="58" t="s">
        <v>203</v>
      </c>
      <c r="D26" s="59" t="s">
        <v>260</v>
      </c>
      <c r="E26" s="54">
        <v>0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9">
        <v>0</v>
      </c>
      <c r="V26" s="49">
        <v>0</v>
      </c>
      <c r="W26" s="49">
        <v>0</v>
      </c>
      <c r="X26" s="49">
        <v>0</v>
      </c>
      <c r="Y26" s="49">
        <v>0</v>
      </c>
      <c r="Z26" s="49">
        <v>0</v>
      </c>
      <c r="AA26" s="49">
        <v>0</v>
      </c>
      <c r="AB26" s="49">
        <v>0</v>
      </c>
      <c r="AC26" s="49">
        <v>0</v>
      </c>
      <c r="AD26" s="49">
        <v>0</v>
      </c>
      <c r="AE26" s="49">
        <v>0</v>
      </c>
      <c r="AF26" s="49">
        <v>0</v>
      </c>
      <c r="AG26" s="49">
        <v>0</v>
      </c>
      <c r="AH26" s="49">
        <v>0</v>
      </c>
      <c r="AI26" s="49">
        <v>0</v>
      </c>
      <c r="AJ26" s="49">
        <v>0</v>
      </c>
      <c r="AK26" s="49">
        <v>0</v>
      </c>
      <c r="AL26" s="49">
        <v>0</v>
      </c>
      <c r="AM26" s="49">
        <v>0</v>
      </c>
      <c r="AN26" s="49">
        <v>0</v>
      </c>
      <c r="AO26" s="49">
        <v>0</v>
      </c>
      <c r="AP26" s="49">
        <v>0</v>
      </c>
      <c r="AQ26" s="49">
        <v>0</v>
      </c>
      <c r="AR26" s="49">
        <v>0</v>
      </c>
      <c r="AS26" s="49">
        <v>0</v>
      </c>
      <c r="AT26" s="49">
        <v>0</v>
      </c>
      <c r="AU26" s="49">
        <v>0</v>
      </c>
      <c r="AV26" s="49">
        <v>0</v>
      </c>
      <c r="AW26" s="49">
        <v>0</v>
      </c>
      <c r="AX26" s="49">
        <v>0</v>
      </c>
      <c r="AY26" s="49">
        <v>0</v>
      </c>
      <c r="AZ26" s="49">
        <v>0</v>
      </c>
      <c r="BA26" s="49">
        <v>0</v>
      </c>
      <c r="BB26" s="49">
        <v>0</v>
      </c>
      <c r="BC26" s="49">
        <v>0</v>
      </c>
      <c r="BD26" s="49">
        <v>0</v>
      </c>
      <c r="BE26" s="49">
        <v>0</v>
      </c>
      <c r="BF26" s="49">
        <v>0</v>
      </c>
      <c r="BG26" s="49">
        <v>0</v>
      </c>
      <c r="BH26" s="49">
        <v>0</v>
      </c>
      <c r="BI26" s="49">
        <v>0</v>
      </c>
      <c r="BJ26" s="49">
        <v>0</v>
      </c>
      <c r="BK26" s="49">
        <v>0</v>
      </c>
      <c r="BL26" s="49">
        <v>0</v>
      </c>
      <c r="BM26" s="49">
        <v>0</v>
      </c>
      <c r="BN26" s="49">
        <v>0</v>
      </c>
      <c r="BO26" s="49">
        <v>0</v>
      </c>
      <c r="BP26" s="49">
        <v>0</v>
      </c>
      <c r="BQ26" s="49">
        <v>0</v>
      </c>
      <c r="BR26" s="49">
        <v>0</v>
      </c>
      <c r="BS26" s="49">
        <v>0</v>
      </c>
      <c r="BT26" s="49">
        <v>0</v>
      </c>
      <c r="BU26" s="49">
        <v>0</v>
      </c>
      <c r="BV26" s="49">
        <v>0</v>
      </c>
      <c r="BW26" s="49">
        <v>0</v>
      </c>
      <c r="BX26" s="49">
        <v>0</v>
      </c>
      <c r="BY26" s="49">
        <v>0</v>
      </c>
      <c r="BZ26" s="49">
        <v>0</v>
      </c>
      <c r="CA26" s="49">
        <v>0</v>
      </c>
      <c r="CB26" s="49">
        <v>0</v>
      </c>
      <c r="CC26" s="49">
        <v>0</v>
      </c>
      <c r="CD26" s="49">
        <v>0</v>
      </c>
      <c r="CE26" s="49">
        <v>0</v>
      </c>
      <c r="CF26" s="49">
        <v>0</v>
      </c>
      <c r="CG26" s="49">
        <v>0</v>
      </c>
      <c r="CH26" s="49">
        <v>0</v>
      </c>
      <c r="CI26" s="49">
        <v>0</v>
      </c>
      <c r="CJ26" s="49">
        <v>0</v>
      </c>
      <c r="CK26" s="49">
        <v>0</v>
      </c>
      <c r="CL26"/>
      <c r="CN26" s="29"/>
      <c r="CO26" s="37"/>
    </row>
    <row r="27" spans="1:93" ht="15" x14ac:dyDescent="0.25">
      <c r="A27" s="34"/>
      <c r="B27" s="30"/>
      <c r="C27" s="58" t="s">
        <v>204</v>
      </c>
      <c r="D27" s="59" t="s">
        <v>260</v>
      </c>
      <c r="E27" s="54">
        <v>0</v>
      </c>
      <c r="F27" s="49">
        <v>0</v>
      </c>
      <c r="G27" s="49">
        <v>0</v>
      </c>
      <c r="H27" s="49">
        <v>0</v>
      </c>
      <c r="I27" s="49">
        <v>0</v>
      </c>
      <c r="J27" s="49">
        <v>0</v>
      </c>
      <c r="K27" s="49">
        <v>0</v>
      </c>
      <c r="L27" s="49">
        <v>0</v>
      </c>
      <c r="M27" s="49">
        <v>0</v>
      </c>
      <c r="N27" s="49">
        <v>0</v>
      </c>
      <c r="O27" s="49">
        <v>0</v>
      </c>
      <c r="P27" s="49">
        <v>0</v>
      </c>
      <c r="Q27" s="49">
        <v>0</v>
      </c>
      <c r="R27" s="49">
        <v>0</v>
      </c>
      <c r="S27" s="49">
        <v>0</v>
      </c>
      <c r="T27" s="49">
        <v>0</v>
      </c>
      <c r="U27" s="49">
        <v>0</v>
      </c>
      <c r="V27" s="49">
        <v>0</v>
      </c>
      <c r="W27" s="49">
        <v>0</v>
      </c>
      <c r="X27" s="49">
        <v>0</v>
      </c>
      <c r="Y27" s="49">
        <v>0</v>
      </c>
      <c r="Z27" s="49">
        <v>0</v>
      </c>
      <c r="AA27" s="49">
        <v>0</v>
      </c>
      <c r="AB27" s="49">
        <v>0</v>
      </c>
      <c r="AC27" s="49">
        <v>0</v>
      </c>
      <c r="AD27" s="49">
        <v>0</v>
      </c>
      <c r="AE27" s="49">
        <v>0</v>
      </c>
      <c r="AF27" s="49">
        <v>0</v>
      </c>
      <c r="AG27" s="49">
        <v>0</v>
      </c>
      <c r="AH27" s="49">
        <v>0</v>
      </c>
      <c r="AI27" s="49">
        <v>0</v>
      </c>
      <c r="AJ27" s="49">
        <v>0</v>
      </c>
      <c r="AK27" s="49">
        <v>0</v>
      </c>
      <c r="AL27" s="49">
        <v>0</v>
      </c>
      <c r="AM27" s="49">
        <v>0</v>
      </c>
      <c r="AN27" s="49">
        <v>0</v>
      </c>
      <c r="AO27" s="49">
        <v>0</v>
      </c>
      <c r="AP27" s="49">
        <v>0</v>
      </c>
      <c r="AQ27" s="49">
        <v>0</v>
      </c>
      <c r="AR27" s="49">
        <v>0</v>
      </c>
      <c r="AS27" s="49">
        <v>0</v>
      </c>
      <c r="AT27" s="49">
        <v>0</v>
      </c>
      <c r="AU27" s="49">
        <v>0</v>
      </c>
      <c r="AV27" s="49">
        <v>0</v>
      </c>
      <c r="AW27" s="49">
        <v>0</v>
      </c>
      <c r="AX27" s="49">
        <v>0</v>
      </c>
      <c r="AY27" s="49">
        <v>0</v>
      </c>
      <c r="AZ27" s="49">
        <v>0</v>
      </c>
      <c r="BA27" s="49">
        <v>0</v>
      </c>
      <c r="BB27" s="49">
        <v>0</v>
      </c>
      <c r="BC27" s="49">
        <v>0</v>
      </c>
      <c r="BD27" s="49">
        <v>0</v>
      </c>
      <c r="BE27" s="49">
        <v>0</v>
      </c>
      <c r="BF27" s="49">
        <v>0</v>
      </c>
      <c r="BG27" s="49">
        <v>0</v>
      </c>
      <c r="BH27" s="49">
        <v>0</v>
      </c>
      <c r="BI27" s="49">
        <v>0</v>
      </c>
      <c r="BJ27" s="49">
        <v>0</v>
      </c>
      <c r="BK27" s="49">
        <v>0</v>
      </c>
      <c r="BL27" s="49">
        <v>0</v>
      </c>
      <c r="BM27" s="49">
        <v>0</v>
      </c>
      <c r="BN27" s="49">
        <v>0</v>
      </c>
      <c r="BO27" s="49">
        <v>0</v>
      </c>
      <c r="BP27" s="49">
        <v>0</v>
      </c>
      <c r="BQ27" s="49">
        <v>0</v>
      </c>
      <c r="BR27" s="49">
        <v>0</v>
      </c>
      <c r="BS27" s="49">
        <v>0</v>
      </c>
      <c r="BT27" s="49">
        <v>0</v>
      </c>
      <c r="BU27" s="49">
        <v>0</v>
      </c>
      <c r="BV27" s="49">
        <v>0</v>
      </c>
      <c r="BW27" s="49">
        <v>0</v>
      </c>
      <c r="BX27" s="49">
        <v>0</v>
      </c>
      <c r="BY27" s="49">
        <v>0</v>
      </c>
      <c r="BZ27" s="49">
        <v>0</v>
      </c>
      <c r="CA27" s="49">
        <v>0</v>
      </c>
      <c r="CB27" s="49">
        <v>0</v>
      </c>
      <c r="CC27" s="49">
        <v>0</v>
      </c>
      <c r="CD27" s="49">
        <v>0</v>
      </c>
      <c r="CE27" s="49">
        <v>0</v>
      </c>
      <c r="CF27" s="49">
        <v>0</v>
      </c>
      <c r="CG27" s="49">
        <v>0</v>
      </c>
      <c r="CH27" s="49">
        <v>0</v>
      </c>
      <c r="CI27" s="49">
        <v>0</v>
      </c>
      <c r="CJ27" s="49">
        <v>0</v>
      </c>
      <c r="CK27" s="49">
        <v>0</v>
      </c>
      <c r="CL27"/>
      <c r="CN27" s="29"/>
      <c r="CO27" s="37"/>
    </row>
    <row r="28" spans="1:93" ht="15" x14ac:dyDescent="0.25">
      <c r="A28" s="34"/>
      <c r="B28" s="30"/>
      <c r="C28" s="58" t="s">
        <v>205</v>
      </c>
      <c r="D28" s="59" t="s">
        <v>260</v>
      </c>
      <c r="E28" s="54">
        <v>0</v>
      </c>
      <c r="F28" s="49">
        <v>0</v>
      </c>
      <c r="G28" s="49">
        <v>0</v>
      </c>
      <c r="H28" s="49">
        <v>0</v>
      </c>
      <c r="I28" s="49">
        <v>0</v>
      </c>
      <c r="J28" s="49">
        <v>0</v>
      </c>
      <c r="K28" s="49">
        <v>0</v>
      </c>
      <c r="L28" s="49">
        <v>0</v>
      </c>
      <c r="M28" s="49">
        <v>0</v>
      </c>
      <c r="N28" s="49">
        <v>0</v>
      </c>
      <c r="O28" s="49">
        <v>0</v>
      </c>
      <c r="P28" s="49">
        <v>0</v>
      </c>
      <c r="Q28" s="49">
        <v>0</v>
      </c>
      <c r="R28" s="49">
        <v>0</v>
      </c>
      <c r="S28" s="49">
        <v>0</v>
      </c>
      <c r="T28" s="49">
        <v>0</v>
      </c>
      <c r="U28" s="49">
        <v>0</v>
      </c>
      <c r="V28" s="49">
        <v>0</v>
      </c>
      <c r="W28" s="49">
        <v>0</v>
      </c>
      <c r="X28" s="49">
        <v>0</v>
      </c>
      <c r="Y28" s="49">
        <v>0</v>
      </c>
      <c r="Z28" s="49">
        <v>0</v>
      </c>
      <c r="AA28" s="49">
        <v>0</v>
      </c>
      <c r="AB28" s="49">
        <v>0</v>
      </c>
      <c r="AC28" s="49">
        <v>0</v>
      </c>
      <c r="AD28" s="49">
        <v>0</v>
      </c>
      <c r="AE28" s="49">
        <v>0</v>
      </c>
      <c r="AF28" s="49">
        <v>0</v>
      </c>
      <c r="AG28" s="49">
        <v>0</v>
      </c>
      <c r="AH28" s="49">
        <v>0</v>
      </c>
      <c r="AI28" s="49">
        <v>0</v>
      </c>
      <c r="AJ28" s="49">
        <v>0</v>
      </c>
      <c r="AK28" s="49">
        <v>0</v>
      </c>
      <c r="AL28" s="49">
        <v>0</v>
      </c>
      <c r="AM28" s="49">
        <v>0</v>
      </c>
      <c r="AN28" s="49">
        <v>0</v>
      </c>
      <c r="AO28" s="49">
        <v>0</v>
      </c>
      <c r="AP28" s="49">
        <v>0</v>
      </c>
      <c r="AQ28" s="49">
        <v>0</v>
      </c>
      <c r="AR28" s="49">
        <v>0</v>
      </c>
      <c r="AS28" s="49">
        <v>0</v>
      </c>
      <c r="AT28" s="49">
        <v>0</v>
      </c>
      <c r="AU28" s="49">
        <v>0</v>
      </c>
      <c r="AV28" s="49">
        <v>0</v>
      </c>
      <c r="AW28" s="49">
        <v>0</v>
      </c>
      <c r="AX28" s="49">
        <v>0</v>
      </c>
      <c r="AY28" s="49">
        <v>0</v>
      </c>
      <c r="AZ28" s="49">
        <v>0</v>
      </c>
      <c r="BA28" s="49">
        <v>0</v>
      </c>
      <c r="BB28" s="49">
        <v>0</v>
      </c>
      <c r="BC28" s="49">
        <v>0</v>
      </c>
      <c r="BD28" s="49">
        <v>0</v>
      </c>
      <c r="BE28" s="49">
        <v>0</v>
      </c>
      <c r="BF28" s="49">
        <v>0</v>
      </c>
      <c r="BG28" s="49">
        <v>0</v>
      </c>
      <c r="BH28" s="49">
        <v>0</v>
      </c>
      <c r="BI28" s="49">
        <v>0</v>
      </c>
      <c r="BJ28" s="49">
        <v>0</v>
      </c>
      <c r="BK28" s="49">
        <v>0</v>
      </c>
      <c r="BL28" s="49">
        <v>0</v>
      </c>
      <c r="BM28" s="49">
        <v>0</v>
      </c>
      <c r="BN28" s="49">
        <v>0</v>
      </c>
      <c r="BO28" s="49">
        <v>0</v>
      </c>
      <c r="BP28" s="49">
        <v>0</v>
      </c>
      <c r="BQ28" s="49">
        <v>0</v>
      </c>
      <c r="BR28" s="49">
        <v>0</v>
      </c>
      <c r="BS28" s="49">
        <v>0</v>
      </c>
      <c r="BT28" s="49">
        <v>0</v>
      </c>
      <c r="BU28" s="49">
        <v>0</v>
      </c>
      <c r="BV28" s="49">
        <v>0</v>
      </c>
      <c r="BW28" s="49">
        <v>0</v>
      </c>
      <c r="BX28" s="49">
        <v>0</v>
      </c>
      <c r="BY28" s="49">
        <v>0</v>
      </c>
      <c r="BZ28" s="49">
        <v>0</v>
      </c>
      <c r="CA28" s="49">
        <v>0</v>
      </c>
      <c r="CB28" s="49">
        <v>0</v>
      </c>
      <c r="CC28" s="49">
        <v>0</v>
      </c>
      <c r="CD28" s="49">
        <v>0</v>
      </c>
      <c r="CE28" s="49">
        <v>0</v>
      </c>
      <c r="CF28" s="49">
        <v>0</v>
      </c>
      <c r="CG28" s="49">
        <v>0</v>
      </c>
      <c r="CH28" s="49">
        <v>0</v>
      </c>
      <c r="CI28" s="49">
        <v>0</v>
      </c>
      <c r="CJ28" s="49">
        <v>0</v>
      </c>
      <c r="CK28" s="49">
        <v>0</v>
      </c>
      <c r="CL28"/>
      <c r="CN28" s="29"/>
      <c r="CO28" s="37"/>
    </row>
    <row r="29" spans="1:93" ht="15" x14ac:dyDescent="0.25">
      <c r="A29" s="34"/>
      <c r="B29" s="30"/>
      <c r="C29" s="58" t="s">
        <v>206</v>
      </c>
      <c r="D29" s="59" t="s">
        <v>260</v>
      </c>
      <c r="E29" s="54">
        <v>0</v>
      </c>
      <c r="F29" s="49">
        <v>0</v>
      </c>
      <c r="G29" s="49">
        <v>0</v>
      </c>
      <c r="H29" s="49">
        <v>0</v>
      </c>
      <c r="I29" s="49">
        <v>0</v>
      </c>
      <c r="J29" s="49">
        <v>0</v>
      </c>
      <c r="K29" s="49">
        <v>0</v>
      </c>
      <c r="L29" s="49">
        <v>0</v>
      </c>
      <c r="M29" s="49">
        <v>0</v>
      </c>
      <c r="N29" s="49">
        <v>0</v>
      </c>
      <c r="O29" s="49">
        <v>0</v>
      </c>
      <c r="P29" s="49">
        <v>0</v>
      </c>
      <c r="Q29" s="49">
        <v>0</v>
      </c>
      <c r="R29" s="49">
        <v>0</v>
      </c>
      <c r="S29" s="49">
        <v>0</v>
      </c>
      <c r="T29" s="49">
        <v>0</v>
      </c>
      <c r="U29" s="49">
        <v>0</v>
      </c>
      <c r="V29" s="49">
        <v>0</v>
      </c>
      <c r="W29" s="49">
        <v>0</v>
      </c>
      <c r="X29" s="49">
        <v>0</v>
      </c>
      <c r="Y29" s="49">
        <v>0</v>
      </c>
      <c r="Z29" s="49">
        <v>0</v>
      </c>
      <c r="AA29" s="49">
        <v>0</v>
      </c>
      <c r="AB29" s="49">
        <v>0</v>
      </c>
      <c r="AC29" s="49">
        <v>0</v>
      </c>
      <c r="AD29" s="49">
        <v>0</v>
      </c>
      <c r="AE29" s="49">
        <v>0</v>
      </c>
      <c r="AF29" s="49">
        <v>0</v>
      </c>
      <c r="AG29" s="49">
        <v>0</v>
      </c>
      <c r="AH29" s="49">
        <v>0</v>
      </c>
      <c r="AI29" s="49">
        <v>0</v>
      </c>
      <c r="AJ29" s="49">
        <v>0</v>
      </c>
      <c r="AK29" s="49">
        <v>0</v>
      </c>
      <c r="AL29" s="49">
        <v>0</v>
      </c>
      <c r="AM29" s="49">
        <v>0</v>
      </c>
      <c r="AN29" s="49">
        <v>0</v>
      </c>
      <c r="AO29" s="49">
        <v>0</v>
      </c>
      <c r="AP29" s="49">
        <v>0</v>
      </c>
      <c r="AQ29" s="49">
        <v>0</v>
      </c>
      <c r="AR29" s="49">
        <v>0</v>
      </c>
      <c r="AS29" s="49">
        <v>0</v>
      </c>
      <c r="AT29" s="49">
        <v>0</v>
      </c>
      <c r="AU29" s="49">
        <v>0</v>
      </c>
      <c r="AV29" s="49">
        <v>0</v>
      </c>
      <c r="AW29" s="49">
        <v>0</v>
      </c>
      <c r="AX29" s="49">
        <v>0</v>
      </c>
      <c r="AY29" s="49">
        <v>0</v>
      </c>
      <c r="AZ29" s="49">
        <v>0</v>
      </c>
      <c r="BA29" s="49">
        <v>0</v>
      </c>
      <c r="BB29" s="49">
        <v>0</v>
      </c>
      <c r="BC29" s="49">
        <v>0</v>
      </c>
      <c r="BD29" s="49">
        <v>0</v>
      </c>
      <c r="BE29" s="49">
        <v>0</v>
      </c>
      <c r="BF29" s="49">
        <v>0</v>
      </c>
      <c r="BG29" s="49">
        <v>0</v>
      </c>
      <c r="BH29" s="49">
        <v>0</v>
      </c>
      <c r="BI29" s="49">
        <v>0</v>
      </c>
      <c r="BJ29" s="49">
        <v>0</v>
      </c>
      <c r="BK29" s="49">
        <v>0</v>
      </c>
      <c r="BL29" s="49">
        <v>0</v>
      </c>
      <c r="BM29" s="49">
        <v>0</v>
      </c>
      <c r="BN29" s="49">
        <v>0</v>
      </c>
      <c r="BO29" s="49">
        <v>0</v>
      </c>
      <c r="BP29" s="49">
        <v>0</v>
      </c>
      <c r="BQ29" s="49">
        <v>0</v>
      </c>
      <c r="BR29" s="49">
        <v>0</v>
      </c>
      <c r="BS29" s="49">
        <v>0</v>
      </c>
      <c r="BT29" s="49">
        <v>0</v>
      </c>
      <c r="BU29" s="49">
        <v>0</v>
      </c>
      <c r="BV29" s="49">
        <v>0</v>
      </c>
      <c r="BW29" s="49">
        <v>0</v>
      </c>
      <c r="BX29" s="49">
        <v>0</v>
      </c>
      <c r="BY29" s="49">
        <v>0</v>
      </c>
      <c r="BZ29" s="49">
        <v>0</v>
      </c>
      <c r="CA29" s="49">
        <v>0</v>
      </c>
      <c r="CB29" s="49">
        <v>0</v>
      </c>
      <c r="CC29" s="49">
        <v>0</v>
      </c>
      <c r="CD29" s="49">
        <v>0</v>
      </c>
      <c r="CE29" s="49">
        <v>0</v>
      </c>
      <c r="CF29" s="49">
        <v>0</v>
      </c>
      <c r="CG29" s="49">
        <v>0</v>
      </c>
      <c r="CH29" s="49">
        <v>0</v>
      </c>
      <c r="CI29" s="49">
        <v>0</v>
      </c>
      <c r="CJ29" s="49">
        <v>0</v>
      </c>
      <c r="CK29" s="49">
        <v>0</v>
      </c>
      <c r="CL29"/>
      <c r="CN29" s="29"/>
      <c r="CO29" s="37"/>
    </row>
    <row r="30" spans="1:93" ht="15" x14ac:dyDescent="0.25">
      <c r="A30" s="34"/>
      <c r="B30" s="30"/>
      <c r="C30" s="58" t="s">
        <v>207</v>
      </c>
      <c r="D30" s="59" t="s">
        <v>260</v>
      </c>
      <c r="E30" s="54">
        <v>0</v>
      </c>
      <c r="F30" s="49">
        <v>0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0</v>
      </c>
      <c r="M30" s="49">
        <v>0</v>
      </c>
      <c r="N30" s="49">
        <v>0</v>
      </c>
      <c r="O30" s="49">
        <v>0</v>
      </c>
      <c r="P30" s="49">
        <v>0</v>
      </c>
      <c r="Q30" s="49">
        <v>0</v>
      </c>
      <c r="R30" s="49">
        <v>0</v>
      </c>
      <c r="S30" s="49">
        <v>0</v>
      </c>
      <c r="T30" s="49">
        <v>0</v>
      </c>
      <c r="U30" s="49">
        <v>0</v>
      </c>
      <c r="V30" s="49">
        <v>0</v>
      </c>
      <c r="W30" s="49">
        <v>0</v>
      </c>
      <c r="X30" s="49">
        <v>0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0</v>
      </c>
      <c r="AV30" s="49">
        <v>0</v>
      </c>
      <c r="AW30" s="49">
        <v>0</v>
      </c>
      <c r="AX30" s="49">
        <v>0</v>
      </c>
      <c r="AY30" s="49">
        <v>0</v>
      </c>
      <c r="AZ30" s="49">
        <v>0</v>
      </c>
      <c r="BA30" s="49">
        <v>0</v>
      </c>
      <c r="BB30" s="49">
        <v>0</v>
      </c>
      <c r="BC30" s="49">
        <v>0</v>
      </c>
      <c r="BD30" s="49">
        <v>0</v>
      </c>
      <c r="BE30" s="49">
        <v>0</v>
      </c>
      <c r="BF30" s="49">
        <v>0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9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/>
      <c r="CN30" s="29"/>
      <c r="CO30" s="37"/>
    </row>
    <row r="31" spans="1:93" ht="15" x14ac:dyDescent="0.25">
      <c r="A31" s="34"/>
      <c r="B31" s="30"/>
      <c r="C31" s="58" t="s">
        <v>208</v>
      </c>
      <c r="D31" s="59" t="s">
        <v>260</v>
      </c>
      <c r="E31" s="54">
        <v>0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0</v>
      </c>
      <c r="M31" s="49">
        <v>0</v>
      </c>
      <c r="N31" s="49">
        <v>0</v>
      </c>
      <c r="O31" s="49">
        <v>0</v>
      </c>
      <c r="P31" s="49">
        <v>0</v>
      </c>
      <c r="Q31" s="49">
        <v>0</v>
      </c>
      <c r="R31" s="49">
        <v>0</v>
      </c>
      <c r="S31" s="49">
        <v>0</v>
      </c>
      <c r="T31" s="49">
        <v>0</v>
      </c>
      <c r="U31" s="49">
        <v>0</v>
      </c>
      <c r="V31" s="49">
        <v>0</v>
      </c>
      <c r="W31" s="49">
        <v>0</v>
      </c>
      <c r="X31" s="49">
        <v>0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  <c r="AG31" s="49">
        <v>0</v>
      </c>
      <c r="AH31" s="49">
        <v>0</v>
      </c>
      <c r="AI31" s="49">
        <v>0</v>
      </c>
      <c r="AJ31" s="49">
        <v>0</v>
      </c>
      <c r="AK31" s="49">
        <v>0</v>
      </c>
      <c r="AL31" s="49">
        <v>0</v>
      </c>
      <c r="AM31" s="49">
        <v>0</v>
      </c>
      <c r="AN31" s="49">
        <v>0</v>
      </c>
      <c r="AO31" s="49">
        <v>0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0</v>
      </c>
      <c r="AV31" s="49">
        <v>0</v>
      </c>
      <c r="AW31" s="49">
        <v>0</v>
      </c>
      <c r="AX31" s="49">
        <v>0</v>
      </c>
      <c r="AY31" s="49">
        <v>0</v>
      </c>
      <c r="AZ31" s="49">
        <v>0</v>
      </c>
      <c r="BA31" s="49">
        <v>0</v>
      </c>
      <c r="BB31" s="49">
        <v>0</v>
      </c>
      <c r="BC31" s="49">
        <v>0</v>
      </c>
      <c r="BD31" s="49">
        <v>0</v>
      </c>
      <c r="BE31" s="49">
        <v>0</v>
      </c>
      <c r="BF31" s="49">
        <v>0</v>
      </c>
      <c r="BG31" s="49">
        <v>0</v>
      </c>
      <c r="BH31" s="49">
        <v>0</v>
      </c>
      <c r="BI31" s="49">
        <v>0</v>
      </c>
      <c r="BJ31" s="49">
        <v>0</v>
      </c>
      <c r="BK31" s="49">
        <v>0</v>
      </c>
      <c r="BL31" s="49">
        <v>0</v>
      </c>
      <c r="BM31" s="49">
        <v>0</v>
      </c>
      <c r="BN31" s="49">
        <v>0</v>
      </c>
      <c r="BO31" s="49">
        <v>0</v>
      </c>
      <c r="BP31" s="49">
        <v>0</v>
      </c>
      <c r="BQ31" s="49">
        <v>0</v>
      </c>
      <c r="BR31" s="49">
        <v>0</v>
      </c>
      <c r="BS31" s="49">
        <v>0</v>
      </c>
      <c r="BT31" s="49">
        <v>0</v>
      </c>
      <c r="BU31" s="49">
        <v>0</v>
      </c>
      <c r="BV31" s="49">
        <v>0</v>
      </c>
      <c r="BW31" s="49">
        <v>0</v>
      </c>
      <c r="BX31" s="49">
        <v>0</v>
      </c>
      <c r="BY31" s="49">
        <v>0</v>
      </c>
      <c r="BZ31" s="49">
        <v>0</v>
      </c>
      <c r="CA31" s="49">
        <v>0</v>
      </c>
      <c r="CB31" s="49">
        <v>0</v>
      </c>
      <c r="CC31" s="49">
        <v>0</v>
      </c>
      <c r="CD31" s="49">
        <v>0</v>
      </c>
      <c r="CE31" s="49">
        <v>0</v>
      </c>
      <c r="CF31" s="49">
        <v>0</v>
      </c>
      <c r="CG31" s="49">
        <v>0</v>
      </c>
      <c r="CH31" s="49">
        <v>0</v>
      </c>
      <c r="CI31" s="49">
        <v>0</v>
      </c>
      <c r="CJ31" s="49">
        <v>0</v>
      </c>
      <c r="CK31" s="49">
        <v>0</v>
      </c>
      <c r="CL31"/>
      <c r="CN31" s="29"/>
      <c r="CO31" s="37"/>
    </row>
    <row r="32" spans="1:93" ht="15" x14ac:dyDescent="0.25">
      <c r="A32" s="34"/>
      <c r="B32" s="30"/>
      <c r="C32" s="58" t="s">
        <v>209</v>
      </c>
      <c r="D32" s="59" t="s">
        <v>260</v>
      </c>
      <c r="E32" s="54">
        <v>0</v>
      </c>
      <c r="F32" s="49">
        <v>0</v>
      </c>
      <c r="G32" s="49">
        <v>0</v>
      </c>
      <c r="H32" s="49">
        <v>0</v>
      </c>
      <c r="I32" s="49">
        <v>0</v>
      </c>
      <c r="J32" s="49">
        <v>0</v>
      </c>
      <c r="K32" s="49">
        <v>0</v>
      </c>
      <c r="L32" s="49">
        <v>0</v>
      </c>
      <c r="M32" s="49">
        <v>0</v>
      </c>
      <c r="N32" s="49">
        <v>0</v>
      </c>
      <c r="O32" s="49">
        <v>0</v>
      </c>
      <c r="P32" s="49">
        <v>0</v>
      </c>
      <c r="Q32" s="49">
        <v>0</v>
      </c>
      <c r="R32" s="49">
        <v>0</v>
      </c>
      <c r="S32" s="49">
        <v>0</v>
      </c>
      <c r="T32" s="49">
        <v>0</v>
      </c>
      <c r="U32" s="49">
        <v>0</v>
      </c>
      <c r="V32" s="49">
        <v>0</v>
      </c>
      <c r="W32" s="49">
        <v>0</v>
      </c>
      <c r="X32" s="49">
        <v>0</v>
      </c>
      <c r="Y32" s="49">
        <v>0</v>
      </c>
      <c r="Z32" s="49">
        <v>0</v>
      </c>
      <c r="AA32" s="49">
        <v>0</v>
      </c>
      <c r="AB32" s="49">
        <v>0</v>
      </c>
      <c r="AC32" s="49">
        <v>0</v>
      </c>
      <c r="AD32" s="49">
        <v>0</v>
      </c>
      <c r="AE32" s="49">
        <v>0</v>
      </c>
      <c r="AF32" s="49">
        <v>0</v>
      </c>
      <c r="AG32" s="49">
        <v>0</v>
      </c>
      <c r="AH32" s="49">
        <v>0</v>
      </c>
      <c r="AI32" s="49">
        <v>0</v>
      </c>
      <c r="AJ32" s="49">
        <v>0</v>
      </c>
      <c r="AK32" s="49">
        <v>0</v>
      </c>
      <c r="AL32" s="49">
        <v>0</v>
      </c>
      <c r="AM32" s="49">
        <v>0</v>
      </c>
      <c r="AN32" s="49">
        <v>0</v>
      </c>
      <c r="AO32" s="49">
        <v>0</v>
      </c>
      <c r="AP32" s="49">
        <v>0</v>
      </c>
      <c r="AQ32" s="49">
        <v>0</v>
      </c>
      <c r="AR32" s="49">
        <v>0</v>
      </c>
      <c r="AS32" s="49">
        <v>0</v>
      </c>
      <c r="AT32" s="49">
        <v>0</v>
      </c>
      <c r="AU32" s="49">
        <v>0</v>
      </c>
      <c r="AV32" s="49">
        <v>0</v>
      </c>
      <c r="AW32" s="49">
        <v>0</v>
      </c>
      <c r="AX32" s="49">
        <v>0</v>
      </c>
      <c r="AY32" s="49">
        <v>0</v>
      </c>
      <c r="AZ32" s="49">
        <v>0</v>
      </c>
      <c r="BA32" s="49">
        <v>0</v>
      </c>
      <c r="BB32" s="49">
        <v>0</v>
      </c>
      <c r="BC32" s="49">
        <v>0</v>
      </c>
      <c r="BD32" s="49">
        <v>0</v>
      </c>
      <c r="BE32" s="49">
        <v>0</v>
      </c>
      <c r="BF32" s="49">
        <v>0</v>
      </c>
      <c r="BG32" s="49">
        <v>0</v>
      </c>
      <c r="BH32" s="49">
        <v>0</v>
      </c>
      <c r="BI32" s="49">
        <v>0</v>
      </c>
      <c r="BJ32" s="49">
        <v>0</v>
      </c>
      <c r="BK32" s="49">
        <v>0</v>
      </c>
      <c r="BL32" s="49">
        <v>0</v>
      </c>
      <c r="BM32" s="49">
        <v>0</v>
      </c>
      <c r="BN32" s="49">
        <v>0</v>
      </c>
      <c r="BO32" s="49">
        <v>0</v>
      </c>
      <c r="BP32" s="49">
        <v>0</v>
      </c>
      <c r="BQ32" s="49">
        <v>0</v>
      </c>
      <c r="BR32" s="49">
        <v>0</v>
      </c>
      <c r="BS32" s="49">
        <v>0</v>
      </c>
      <c r="BT32" s="49">
        <v>0</v>
      </c>
      <c r="BU32" s="49">
        <v>0</v>
      </c>
      <c r="BV32" s="49">
        <v>0</v>
      </c>
      <c r="BW32" s="49">
        <v>0</v>
      </c>
      <c r="BX32" s="49">
        <v>0</v>
      </c>
      <c r="BY32" s="49">
        <v>0</v>
      </c>
      <c r="BZ32" s="49">
        <v>0</v>
      </c>
      <c r="CA32" s="49">
        <v>0</v>
      </c>
      <c r="CB32" s="49">
        <v>0</v>
      </c>
      <c r="CC32" s="49">
        <v>0</v>
      </c>
      <c r="CD32" s="49">
        <v>0</v>
      </c>
      <c r="CE32" s="49">
        <v>0</v>
      </c>
      <c r="CF32" s="49">
        <v>0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/>
      <c r="CN32" s="29"/>
      <c r="CO32" s="37"/>
    </row>
    <row r="33" spans="1:93" ht="15" x14ac:dyDescent="0.25">
      <c r="A33" s="34"/>
      <c r="B33" s="30"/>
      <c r="C33" s="58" t="s">
        <v>210</v>
      </c>
      <c r="D33" s="59" t="s">
        <v>260</v>
      </c>
      <c r="E33" s="54">
        <v>0</v>
      </c>
      <c r="F33" s="49">
        <v>0</v>
      </c>
      <c r="G33" s="49">
        <v>0</v>
      </c>
      <c r="H33" s="49">
        <v>0</v>
      </c>
      <c r="I33" s="49">
        <v>0</v>
      </c>
      <c r="J33" s="49">
        <v>0</v>
      </c>
      <c r="K33" s="49">
        <v>0</v>
      </c>
      <c r="L33" s="49">
        <v>0</v>
      </c>
      <c r="M33" s="49">
        <v>0</v>
      </c>
      <c r="N33" s="49">
        <v>0</v>
      </c>
      <c r="O33" s="49">
        <v>0</v>
      </c>
      <c r="P33" s="49">
        <v>0</v>
      </c>
      <c r="Q33" s="49">
        <v>0</v>
      </c>
      <c r="R33" s="49">
        <v>0</v>
      </c>
      <c r="S33" s="49">
        <v>0</v>
      </c>
      <c r="T33" s="49">
        <v>0</v>
      </c>
      <c r="U33" s="49">
        <v>0</v>
      </c>
      <c r="V33" s="49">
        <v>0</v>
      </c>
      <c r="W33" s="49">
        <v>0</v>
      </c>
      <c r="X33" s="49">
        <v>0</v>
      </c>
      <c r="Y33" s="49">
        <v>0</v>
      </c>
      <c r="Z33" s="49">
        <v>0</v>
      </c>
      <c r="AA33" s="49">
        <v>0</v>
      </c>
      <c r="AB33" s="49">
        <v>0</v>
      </c>
      <c r="AC33" s="49">
        <v>0</v>
      </c>
      <c r="AD33" s="49">
        <v>0</v>
      </c>
      <c r="AE33" s="49">
        <v>0</v>
      </c>
      <c r="AF33" s="49">
        <v>0</v>
      </c>
      <c r="AG33" s="49">
        <v>0</v>
      </c>
      <c r="AH33" s="49">
        <v>0</v>
      </c>
      <c r="AI33" s="49">
        <v>0</v>
      </c>
      <c r="AJ33" s="49">
        <v>0</v>
      </c>
      <c r="AK33" s="49">
        <v>0</v>
      </c>
      <c r="AL33" s="49">
        <v>0</v>
      </c>
      <c r="AM33" s="49">
        <v>0</v>
      </c>
      <c r="AN33" s="49">
        <v>0</v>
      </c>
      <c r="AO33" s="49">
        <v>0</v>
      </c>
      <c r="AP33" s="49">
        <v>0</v>
      </c>
      <c r="AQ33" s="49">
        <v>0</v>
      </c>
      <c r="AR33" s="49">
        <v>0</v>
      </c>
      <c r="AS33" s="49">
        <v>0</v>
      </c>
      <c r="AT33" s="49">
        <v>0</v>
      </c>
      <c r="AU33" s="49">
        <v>0</v>
      </c>
      <c r="AV33" s="49">
        <v>0</v>
      </c>
      <c r="AW33" s="49">
        <v>0</v>
      </c>
      <c r="AX33" s="49">
        <v>0</v>
      </c>
      <c r="AY33" s="49">
        <v>0</v>
      </c>
      <c r="AZ33" s="49">
        <v>0</v>
      </c>
      <c r="BA33" s="49">
        <v>0</v>
      </c>
      <c r="BB33" s="49">
        <v>0</v>
      </c>
      <c r="BC33" s="49">
        <v>0</v>
      </c>
      <c r="BD33" s="49">
        <v>0</v>
      </c>
      <c r="BE33" s="49">
        <v>0</v>
      </c>
      <c r="BF33" s="49">
        <v>0</v>
      </c>
      <c r="BG33" s="49">
        <v>0</v>
      </c>
      <c r="BH33" s="49">
        <v>0</v>
      </c>
      <c r="BI33" s="49">
        <v>0</v>
      </c>
      <c r="BJ33" s="49">
        <v>0</v>
      </c>
      <c r="BK33" s="49">
        <v>0</v>
      </c>
      <c r="BL33" s="49">
        <v>0</v>
      </c>
      <c r="BM33" s="49">
        <v>0</v>
      </c>
      <c r="BN33" s="49">
        <v>0</v>
      </c>
      <c r="BO33" s="49">
        <v>0</v>
      </c>
      <c r="BP33" s="49">
        <v>0</v>
      </c>
      <c r="BQ33" s="49">
        <v>0</v>
      </c>
      <c r="BR33" s="49">
        <v>0</v>
      </c>
      <c r="BS33" s="49">
        <v>0</v>
      </c>
      <c r="BT33" s="49">
        <v>0</v>
      </c>
      <c r="BU33" s="49">
        <v>0</v>
      </c>
      <c r="BV33" s="49">
        <v>0</v>
      </c>
      <c r="BW33" s="49">
        <v>0</v>
      </c>
      <c r="BX33" s="49">
        <v>0</v>
      </c>
      <c r="BY33" s="49">
        <v>0</v>
      </c>
      <c r="BZ33" s="49">
        <v>0</v>
      </c>
      <c r="CA33" s="49">
        <v>0</v>
      </c>
      <c r="CB33" s="49">
        <v>0</v>
      </c>
      <c r="CC33" s="49">
        <v>0</v>
      </c>
      <c r="CD33" s="49">
        <v>0</v>
      </c>
      <c r="CE33" s="49">
        <v>0</v>
      </c>
      <c r="CF33" s="49">
        <v>0</v>
      </c>
      <c r="CG33" s="49">
        <v>0</v>
      </c>
      <c r="CH33" s="49">
        <v>0</v>
      </c>
      <c r="CI33" s="49">
        <v>0</v>
      </c>
      <c r="CJ33" s="49">
        <v>0</v>
      </c>
      <c r="CK33" s="49">
        <v>0</v>
      </c>
      <c r="CL33"/>
      <c r="CN33" s="29"/>
      <c r="CO33" s="37"/>
    </row>
    <row r="34" spans="1:93" ht="15" x14ac:dyDescent="0.25">
      <c r="A34" s="34"/>
      <c r="B34" s="30"/>
      <c r="C34" s="58" t="s">
        <v>211</v>
      </c>
      <c r="D34" s="59" t="s">
        <v>260</v>
      </c>
      <c r="E34" s="54">
        <v>0</v>
      </c>
      <c r="F34" s="49">
        <v>0</v>
      </c>
      <c r="G34" s="49">
        <v>0</v>
      </c>
      <c r="H34" s="49">
        <v>0</v>
      </c>
      <c r="I34" s="49">
        <v>0</v>
      </c>
      <c r="J34" s="49">
        <v>0</v>
      </c>
      <c r="K34" s="49">
        <v>0</v>
      </c>
      <c r="L34" s="49">
        <v>0</v>
      </c>
      <c r="M34" s="49">
        <v>0</v>
      </c>
      <c r="N34" s="49">
        <v>0</v>
      </c>
      <c r="O34" s="49">
        <v>0</v>
      </c>
      <c r="P34" s="49">
        <v>0</v>
      </c>
      <c r="Q34" s="49">
        <v>0</v>
      </c>
      <c r="R34" s="49">
        <v>0</v>
      </c>
      <c r="S34" s="49">
        <v>0</v>
      </c>
      <c r="T34" s="49">
        <v>0</v>
      </c>
      <c r="U34" s="49">
        <v>0</v>
      </c>
      <c r="V34" s="49">
        <v>0</v>
      </c>
      <c r="W34" s="49">
        <v>0</v>
      </c>
      <c r="X34" s="49">
        <v>0</v>
      </c>
      <c r="Y34" s="49">
        <v>0</v>
      </c>
      <c r="Z34" s="49">
        <v>0</v>
      </c>
      <c r="AA34" s="49">
        <v>0</v>
      </c>
      <c r="AB34" s="49">
        <v>0</v>
      </c>
      <c r="AC34" s="49">
        <v>0</v>
      </c>
      <c r="AD34" s="49">
        <v>0</v>
      </c>
      <c r="AE34" s="49">
        <v>0</v>
      </c>
      <c r="AF34" s="49">
        <v>0</v>
      </c>
      <c r="AG34" s="49">
        <v>0</v>
      </c>
      <c r="AH34" s="49">
        <v>0</v>
      </c>
      <c r="AI34" s="49">
        <v>0</v>
      </c>
      <c r="AJ34" s="49">
        <v>0</v>
      </c>
      <c r="AK34" s="49">
        <v>0</v>
      </c>
      <c r="AL34" s="49">
        <v>0</v>
      </c>
      <c r="AM34" s="49">
        <v>0</v>
      </c>
      <c r="AN34" s="49">
        <v>0</v>
      </c>
      <c r="AO34" s="49">
        <v>0</v>
      </c>
      <c r="AP34" s="49">
        <v>0</v>
      </c>
      <c r="AQ34" s="49">
        <v>0</v>
      </c>
      <c r="AR34" s="49">
        <v>0</v>
      </c>
      <c r="AS34" s="49">
        <v>0</v>
      </c>
      <c r="AT34" s="49">
        <v>0</v>
      </c>
      <c r="AU34" s="49">
        <v>0</v>
      </c>
      <c r="AV34" s="49">
        <v>0</v>
      </c>
      <c r="AW34" s="49">
        <v>0</v>
      </c>
      <c r="AX34" s="49">
        <v>0</v>
      </c>
      <c r="AY34" s="49">
        <v>0</v>
      </c>
      <c r="AZ34" s="49">
        <v>0</v>
      </c>
      <c r="BA34" s="49">
        <v>0</v>
      </c>
      <c r="BB34" s="49">
        <v>0</v>
      </c>
      <c r="BC34" s="49">
        <v>0</v>
      </c>
      <c r="BD34" s="49">
        <v>0</v>
      </c>
      <c r="BE34" s="49">
        <v>0</v>
      </c>
      <c r="BF34" s="49">
        <v>0</v>
      </c>
      <c r="BG34" s="49">
        <v>0</v>
      </c>
      <c r="BH34" s="49">
        <v>0</v>
      </c>
      <c r="BI34" s="49">
        <v>0</v>
      </c>
      <c r="BJ34" s="49">
        <v>0</v>
      </c>
      <c r="BK34" s="49">
        <v>0</v>
      </c>
      <c r="BL34" s="49">
        <v>0</v>
      </c>
      <c r="BM34" s="49">
        <v>0</v>
      </c>
      <c r="BN34" s="49">
        <v>0</v>
      </c>
      <c r="BO34" s="49">
        <v>0</v>
      </c>
      <c r="BP34" s="49">
        <v>0</v>
      </c>
      <c r="BQ34" s="49">
        <v>0</v>
      </c>
      <c r="BR34" s="49">
        <v>0</v>
      </c>
      <c r="BS34" s="49">
        <v>0</v>
      </c>
      <c r="BT34" s="49">
        <v>0</v>
      </c>
      <c r="BU34" s="49">
        <v>0</v>
      </c>
      <c r="BV34" s="49">
        <v>0</v>
      </c>
      <c r="BW34" s="49">
        <v>0</v>
      </c>
      <c r="BX34" s="49">
        <v>0</v>
      </c>
      <c r="BY34" s="49">
        <v>0</v>
      </c>
      <c r="BZ34" s="49">
        <v>0</v>
      </c>
      <c r="CA34" s="49">
        <v>0</v>
      </c>
      <c r="CB34" s="49">
        <v>0</v>
      </c>
      <c r="CC34" s="49">
        <v>0</v>
      </c>
      <c r="CD34" s="49">
        <v>0</v>
      </c>
      <c r="CE34" s="49">
        <v>0</v>
      </c>
      <c r="CF34" s="49">
        <v>0</v>
      </c>
      <c r="CG34" s="49">
        <v>0</v>
      </c>
      <c r="CH34" s="49">
        <v>0</v>
      </c>
      <c r="CI34" s="49">
        <v>0</v>
      </c>
      <c r="CJ34" s="49">
        <v>0</v>
      </c>
      <c r="CK34" s="49">
        <v>0</v>
      </c>
      <c r="CL34"/>
      <c r="CN34" s="29"/>
      <c r="CO34" s="37"/>
    </row>
    <row r="35" spans="1:93" ht="15" x14ac:dyDescent="0.25">
      <c r="A35" s="34"/>
      <c r="B35" s="30"/>
      <c r="C35" s="58" t="s">
        <v>212</v>
      </c>
      <c r="D35" s="59" t="s">
        <v>260</v>
      </c>
      <c r="E35" s="54">
        <v>0</v>
      </c>
      <c r="F35" s="49">
        <v>0</v>
      </c>
      <c r="G35" s="49">
        <v>0</v>
      </c>
      <c r="H35" s="49">
        <v>0</v>
      </c>
      <c r="I35" s="49">
        <v>0</v>
      </c>
      <c r="J35" s="49">
        <v>0</v>
      </c>
      <c r="K35" s="49">
        <v>0</v>
      </c>
      <c r="L35" s="49">
        <v>0</v>
      </c>
      <c r="M35" s="49">
        <v>0</v>
      </c>
      <c r="N35" s="49">
        <v>0</v>
      </c>
      <c r="O35" s="49">
        <v>0</v>
      </c>
      <c r="P35" s="49">
        <v>0</v>
      </c>
      <c r="Q35" s="49">
        <v>0</v>
      </c>
      <c r="R35" s="49">
        <v>0</v>
      </c>
      <c r="S35" s="49">
        <v>0</v>
      </c>
      <c r="T35" s="49">
        <v>0</v>
      </c>
      <c r="U35" s="49">
        <v>0</v>
      </c>
      <c r="V35" s="49">
        <v>0</v>
      </c>
      <c r="W35" s="49">
        <v>0</v>
      </c>
      <c r="X35" s="49">
        <v>0</v>
      </c>
      <c r="Y35" s="49">
        <v>0</v>
      </c>
      <c r="Z35" s="49">
        <v>0</v>
      </c>
      <c r="AA35" s="49">
        <v>0</v>
      </c>
      <c r="AB35" s="49">
        <v>0</v>
      </c>
      <c r="AC35" s="49">
        <v>0</v>
      </c>
      <c r="AD35" s="49">
        <v>0</v>
      </c>
      <c r="AE35" s="49">
        <v>0</v>
      </c>
      <c r="AF35" s="49">
        <v>0</v>
      </c>
      <c r="AG35" s="49">
        <v>0</v>
      </c>
      <c r="AH35" s="49">
        <v>0</v>
      </c>
      <c r="AI35" s="49">
        <v>0</v>
      </c>
      <c r="AJ35" s="49">
        <v>0</v>
      </c>
      <c r="AK35" s="49">
        <v>0</v>
      </c>
      <c r="AL35" s="49">
        <v>0</v>
      </c>
      <c r="AM35" s="49">
        <v>0</v>
      </c>
      <c r="AN35" s="49">
        <v>0</v>
      </c>
      <c r="AO35" s="49">
        <v>0</v>
      </c>
      <c r="AP35" s="49">
        <v>0</v>
      </c>
      <c r="AQ35" s="49">
        <v>0</v>
      </c>
      <c r="AR35" s="49">
        <v>0</v>
      </c>
      <c r="AS35" s="49">
        <v>0</v>
      </c>
      <c r="AT35" s="49">
        <v>0</v>
      </c>
      <c r="AU35" s="49">
        <v>0</v>
      </c>
      <c r="AV35" s="49">
        <v>0</v>
      </c>
      <c r="AW35" s="49">
        <v>0</v>
      </c>
      <c r="AX35" s="49">
        <v>0</v>
      </c>
      <c r="AY35" s="49">
        <v>0</v>
      </c>
      <c r="AZ35" s="49">
        <v>0</v>
      </c>
      <c r="BA35" s="49">
        <v>0</v>
      </c>
      <c r="BB35" s="49">
        <v>0</v>
      </c>
      <c r="BC35" s="49">
        <v>0</v>
      </c>
      <c r="BD35" s="49">
        <v>0</v>
      </c>
      <c r="BE35" s="49">
        <v>0</v>
      </c>
      <c r="BF35" s="49">
        <v>0</v>
      </c>
      <c r="BG35" s="49">
        <v>0</v>
      </c>
      <c r="BH35" s="49">
        <v>0</v>
      </c>
      <c r="BI35" s="49">
        <v>0</v>
      </c>
      <c r="BJ35" s="49">
        <v>0</v>
      </c>
      <c r="BK35" s="49">
        <v>0</v>
      </c>
      <c r="BL35" s="49">
        <v>0</v>
      </c>
      <c r="BM35" s="49">
        <v>0</v>
      </c>
      <c r="BN35" s="49">
        <v>0</v>
      </c>
      <c r="BO35" s="49">
        <v>0</v>
      </c>
      <c r="BP35" s="49">
        <v>0</v>
      </c>
      <c r="BQ35" s="49">
        <v>0</v>
      </c>
      <c r="BR35" s="49">
        <v>0</v>
      </c>
      <c r="BS35" s="49">
        <v>0</v>
      </c>
      <c r="BT35" s="49">
        <v>0</v>
      </c>
      <c r="BU35" s="49">
        <v>0</v>
      </c>
      <c r="BV35" s="49">
        <v>0</v>
      </c>
      <c r="BW35" s="49">
        <v>0</v>
      </c>
      <c r="BX35" s="49">
        <v>0</v>
      </c>
      <c r="BY35" s="49">
        <v>0</v>
      </c>
      <c r="BZ35" s="49">
        <v>0</v>
      </c>
      <c r="CA35" s="49">
        <v>0</v>
      </c>
      <c r="CB35" s="49">
        <v>0</v>
      </c>
      <c r="CC35" s="49">
        <v>0</v>
      </c>
      <c r="CD35" s="49">
        <v>0</v>
      </c>
      <c r="CE35" s="49">
        <v>0</v>
      </c>
      <c r="CF35" s="49">
        <v>0</v>
      </c>
      <c r="CG35" s="49">
        <v>0</v>
      </c>
      <c r="CH35" s="49">
        <v>0</v>
      </c>
      <c r="CI35" s="49">
        <v>0</v>
      </c>
      <c r="CJ35" s="49">
        <v>0</v>
      </c>
      <c r="CK35" s="49">
        <v>0</v>
      </c>
      <c r="CL35"/>
      <c r="CN35" s="29"/>
      <c r="CO35" s="37"/>
    </row>
    <row r="36" spans="1:93" ht="15" x14ac:dyDescent="0.25">
      <c r="A36" s="34"/>
      <c r="B36" s="30"/>
      <c r="C36" s="58" t="s">
        <v>213</v>
      </c>
      <c r="D36" s="59" t="s">
        <v>260</v>
      </c>
      <c r="E36" s="54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0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0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0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49">
        <v>0</v>
      </c>
      <c r="BW36" s="49">
        <v>0</v>
      </c>
      <c r="BX36" s="49">
        <v>0</v>
      </c>
      <c r="BY36" s="49">
        <v>0</v>
      </c>
      <c r="BZ36" s="49">
        <v>0</v>
      </c>
      <c r="CA36" s="49">
        <v>0</v>
      </c>
      <c r="CB36" s="49">
        <v>0</v>
      </c>
      <c r="CC36" s="49">
        <v>0</v>
      </c>
      <c r="CD36" s="49">
        <v>0</v>
      </c>
      <c r="CE36" s="49">
        <v>0</v>
      </c>
      <c r="CF36" s="49">
        <v>0</v>
      </c>
      <c r="CG36" s="49">
        <v>0</v>
      </c>
      <c r="CH36" s="49">
        <v>0</v>
      </c>
      <c r="CI36" s="49">
        <v>0</v>
      </c>
      <c r="CJ36" s="49">
        <v>0</v>
      </c>
      <c r="CK36" s="49">
        <v>0</v>
      </c>
      <c r="CL36"/>
      <c r="CN36" s="29"/>
      <c r="CO36" s="37"/>
    </row>
    <row r="37" spans="1:93" ht="15" x14ac:dyDescent="0.25">
      <c r="A37" s="34"/>
      <c r="B37" s="30"/>
      <c r="C37" s="58" t="s">
        <v>214</v>
      </c>
      <c r="D37" s="59" t="s">
        <v>260</v>
      </c>
      <c r="E37" s="54">
        <v>0</v>
      </c>
      <c r="F37" s="49">
        <v>0</v>
      </c>
      <c r="G37" s="49">
        <v>0</v>
      </c>
      <c r="H37" s="49">
        <v>0</v>
      </c>
      <c r="I37" s="49">
        <v>0</v>
      </c>
      <c r="J37" s="49">
        <v>0</v>
      </c>
      <c r="K37" s="49">
        <v>0</v>
      </c>
      <c r="L37" s="49">
        <v>0</v>
      </c>
      <c r="M37" s="49">
        <v>0</v>
      </c>
      <c r="N37" s="49">
        <v>0</v>
      </c>
      <c r="O37" s="49">
        <v>0</v>
      </c>
      <c r="P37" s="49">
        <v>0</v>
      </c>
      <c r="Q37" s="49">
        <v>0</v>
      </c>
      <c r="R37" s="49">
        <v>0</v>
      </c>
      <c r="S37" s="49">
        <v>0</v>
      </c>
      <c r="T37" s="49">
        <v>0</v>
      </c>
      <c r="U37" s="49">
        <v>0</v>
      </c>
      <c r="V37" s="49">
        <v>0</v>
      </c>
      <c r="W37" s="49">
        <v>0</v>
      </c>
      <c r="X37" s="49">
        <v>0</v>
      </c>
      <c r="Y37" s="49">
        <v>0</v>
      </c>
      <c r="Z37" s="49">
        <v>0</v>
      </c>
      <c r="AA37" s="49">
        <v>0</v>
      </c>
      <c r="AB37" s="49">
        <v>0</v>
      </c>
      <c r="AC37" s="49">
        <v>0</v>
      </c>
      <c r="AD37" s="49">
        <v>0</v>
      </c>
      <c r="AE37" s="49">
        <v>0</v>
      </c>
      <c r="AF37" s="49">
        <v>0</v>
      </c>
      <c r="AG37" s="49">
        <v>0</v>
      </c>
      <c r="AH37" s="49">
        <v>0</v>
      </c>
      <c r="AI37" s="49">
        <v>0</v>
      </c>
      <c r="AJ37" s="49">
        <v>0</v>
      </c>
      <c r="AK37" s="49">
        <v>0</v>
      </c>
      <c r="AL37" s="49">
        <v>0</v>
      </c>
      <c r="AM37" s="49">
        <v>0</v>
      </c>
      <c r="AN37" s="49">
        <v>0</v>
      </c>
      <c r="AO37" s="49">
        <v>0</v>
      </c>
      <c r="AP37" s="49">
        <v>0</v>
      </c>
      <c r="AQ37" s="49">
        <v>0</v>
      </c>
      <c r="AR37" s="49">
        <v>0</v>
      </c>
      <c r="AS37" s="49">
        <v>0</v>
      </c>
      <c r="AT37" s="49">
        <v>0</v>
      </c>
      <c r="AU37" s="49">
        <v>0</v>
      </c>
      <c r="AV37" s="49">
        <v>0</v>
      </c>
      <c r="AW37" s="49">
        <v>0</v>
      </c>
      <c r="AX37" s="49">
        <v>0</v>
      </c>
      <c r="AY37" s="49">
        <v>0</v>
      </c>
      <c r="AZ37" s="49">
        <v>0</v>
      </c>
      <c r="BA37" s="49">
        <v>0</v>
      </c>
      <c r="BB37" s="49">
        <v>0</v>
      </c>
      <c r="BC37" s="49">
        <v>0</v>
      </c>
      <c r="BD37" s="49">
        <v>0</v>
      </c>
      <c r="BE37" s="49">
        <v>0</v>
      </c>
      <c r="BF37" s="49">
        <v>0</v>
      </c>
      <c r="BG37" s="49">
        <v>0</v>
      </c>
      <c r="BH37" s="49">
        <v>0</v>
      </c>
      <c r="BI37" s="49">
        <v>0</v>
      </c>
      <c r="BJ37" s="49">
        <v>0</v>
      </c>
      <c r="BK37" s="49">
        <v>0</v>
      </c>
      <c r="BL37" s="49">
        <v>0</v>
      </c>
      <c r="BM37" s="49">
        <v>0</v>
      </c>
      <c r="BN37" s="49">
        <v>0</v>
      </c>
      <c r="BO37" s="49">
        <v>0</v>
      </c>
      <c r="BP37" s="49">
        <v>0</v>
      </c>
      <c r="BQ37" s="49">
        <v>0</v>
      </c>
      <c r="BR37" s="49">
        <v>0</v>
      </c>
      <c r="BS37" s="49">
        <v>0</v>
      </c>
      <c r="BT37" s="49">
        <v>0</v>
      </c>
      <c r="BU37" s="49">
        <v>0</v>
      </c>
      <c r="BV37" s="49">
        <v>0</v>
      </c>
      <c r="BW37" s="49">
        <v>0</v>
      </c>
      <c r="BX37" s="49">
        <v>0</v>
      </c>
      <c r="BY37" s="49">
        <v>0</v>
      </c>
      <c r="BZ37" s="49">
        <v>0</v>
      </c>
      <c r="CA37" s="49">
        <v>0</v>
      </c>
      <c r="CB37" s="49">
        <v>0</v>
      </c>
      <c r="CC37" s="49">
        <v>0</v>
      </c>
      <c r="CD37" s="49">
        <v>0</v>
      </c>
      <c r="CE37" s="49">
        <v>0</v>
      </c>
      <c r="CF37" s="49">
        <v>0</v>
      </c>
      <c r="CG37" s="49">
        <v>0</v>
      </c>
      <c r="CH37" s="49">
        <v>0</v>
      </c>
      <c r="CI37" s="49">
        <v>0</v>
      </c>
      <c r="CJ37" s="49">
        <v>0</v>
      </c>
      <c r="CK37" s="49">
        <v>0</v>
      </c>
      <c r="CL37"/>
      <c r="CN37" s="29"/>
      <c r="CO37" s="37"/>
    </row>
    <row r="38" spans="1:93" ht="15" x14ac:dyDescent="0.25">
      <c r="A38" s="34"/>
      <c r="B38" s="30"/>
      <c r="C38" s="58" t="s">
        <v>215</v>
      </c>
      <c r="D38" s="59" t="s">
        <v>260</v>
      </c>
      <c r="E38" s="54">
        <v>0</v>
      </c>
      <c r="F38" s="49">
        <v>0</v>
      </c>
      <c r="G38" s="49">
        <v>0</v>
      </c>
      <c r="H38" s="49">
        <v>0</v>
      </c>
      <c r="I38" s="49">
        <v>0</v>
      </c>
      <c r="J38" s="49">
        <v>0</v>
      </c>
      <c r="K38" s="49">
        <v>0</v>
      </c>
      <c r="L38" s="49">
        <v>0</v>
      </c>
      <c r="M38" s="49">
        <v>0</v>
      </c>
      <c r="N38" s="49">
        <v>0</v>
      </c>
      <c r="O38" s="49">
        <v>0</v>
      </c>
      <c r="P38" s="49">
        <v>0</v>
      </c>
      <c r="Q38" s="49">
        <v>0</v>
      </c>
      <c r="R38" s="49">
        <v>0</v>
      </c>
      <c r="S38" s="49">
        <v>0</v>
      </c>
      <c r="T38" s="49">
        <v>0</v>
      </c>
      <c r="U38" s="49">
        <v>0</v>
      </c>
      <c r="V38" s="49">
        <v>0</v>
      </c>
      <c r="W38" s="49">
        <v>0</v>
      </c>
      <c r="X38" s="49">
        <v>0</v>
      </c>
      <c r="Y38" s="49">
        <v>0</v>
      </c>
      <c r="Z38" s="49">
        <v>0</v>
      </c>
      <c r="AA38" s="49">
        <v>0</v>
      </c>
      <c r="AB38" s="49">
        <v>0</v>
      </c>
      <c r="AC38" s="49">
        <v>0</v>
      </c>
      <c r="AD38" s="49">
        <v>0</v>
      </c>
      <c r="AE38" s="49">
        <v>0</v>
      </c>
      <c r="AF38" s="49">
        <v>0</v>
      </c>
      <c r="AG38" s="49">
        <v>0</v>
      </c>
      <c r="AH38" s="49">
        <v>0</v>
      </c>
      <c r="AI38" s="49">
        <v>0</v>
      </c>
      <c r="AJ38" s="49">
        <v>0</v>
      </c>
      <c r="AK38" s="49">
        <v>0</v>
      </c>
      <c r="AL38" s="49">
        <v>0</v>
      </c>
      <c r="AM38" s="49">
        <v>0</v>
      </c>
      <c r="AN38" s="49">
        <v>0</v>
      </c>
      <c r="AO38" s="49">
        <v>0</v>
      </c>
      <c r="AP38" s="49">
        <v>0</v>
      </c>
      <c r="AQ38" s="49">
        <v>0</v>
      </c>
      <c r="AR38" s="49">
        <v>0</v>
      </c>
      <c r="AS38" s="49">
        <v>0</v>
      </c>
      <c r="AT38" s="49">
        <v>0</v>
      </c>
      <c r="AU38" s="49">
        <v>0</v>
      </c>
      <c r="AV38" s="49">
        <v>0</v>
      </c>
      <c r="AW38" s="49">
        <v>0</v>
      </c>
      <c r="AX38" s="49">
        <v>0</v>
      </c>
      <c r="AY38" s="49">
        <v>0</v>
      </c>
      <c r="AZ38" s="49">
        <v>0</v>
      </c>
      <c r="BA38" s="49">
        <v>0</v>
      </c>
      <c r="BB38" s="49">
        <v>0</v>
      </c>
      <c r="BC38" s="49">
        <v>0</v>
      </c>
      <c r="BD38" s="49">
        <v>0</v>
      </c>
      <c r="BE38" s="49">
        <v>0</v>
      </c>
      <c r="BF38" s="49">
        <v>0</v>
      </c>
      <c r="BG38" s="49">
        <v>0</v>
      </c>
      <c r="BH38" s="49">
        <v>0</v>
      </c>
      <c r="BI38" s="49">
        <v>0</v>
      </c>
      <c r="BJ38" s="49">
        <v>0</v>
      </c>
      <c r="BK38" s="49">
        <v>0</v>
      </c>
      <c r="BL38" s="49">
        <v>0</v>
      </c>
      <c r="BM38" s="49">
        <v>0</v>
      </c>
      <c r="BN38" s="49">
        <v>0</v>
      </c>
      <c r="BO38" s="49">
        <v>0</v>
      </c>
      <c r="BP38" s="49">
        <v>0</v>
      </c>
      <c r="BQ38" s="49">
        <v>0</v>
      </c>
      <c r="BR38" s="49">
        <v>0</v>
      </c>
      <c r="BS38" s="49">
        <v>0</v>
      </c>
      <c r="BT38" s="49">
        <v>0</v>
      </c>
      <c r="BU38" s="49">
        <v>0</v>
      </c>
      <c r="BV38" s="49">
        <v>0</v>
      </c>
      <c r="BW38" s="49">
        <v>0</v>
      </c>
      <c r="BX38" s="49">
        <v>0</v>
      </c>
      <c r="BY38" s="49">
        <v>0</v>
      </c>
      <c r="BZ38" s="49">
        <v>0</v>
      </c>
      <c r="CA38" s="49">
        <v>0</v>
      </c>
      <c r="CB38" s="49">
        <v>0</v>
      </c>
      <c r="CC38" s="49">
        <v>0</v>
      </c>
      <c r="CD38" s="49">
        <v>0</v>
      </c>
      <c r="CE38" s="49">
        <v>0</v>
      </c>
      <c r="CF38" s="49">
        <v>0</v>
      </c>
      <c r="CG38" s="49">
        <v>0</v>
      </c>
      <c r="CH38" s="49">
        <v>0</v>
      </c>
      <c r="CI38" s="49">
        <v>0</v>
      </c>
      <c r="CJ38" s="49">
        <v>0</v>
      </c>
      <c r="CK38" s="49">
        <v>0</v>
      </c>
      <c r="CL38"/>
      <c r="CN38" s="29"/>
      <c r="CO38" s="37"/>
    </row>
    <row r="39" spans="1:93" ht="15" x14ac:dyDescent="0.25">
      <c r="A39" s="34"/>
      <c r="B39" s="30"/>
      <c r="C39" s="58" t="s">
        <v>216</v>
      </c>
      <c r="D39" s="59" t="s">
        <v>260</v>
      </c>
      <c r="E39" s="54">
        <v>0</v>
      </c>
      <c r="F39" s="49">
        <v>0</v>
      </c>
      <c r="G39" s="49">
        <v>0</v>
      </c>
      <c r="H39" s="49">
        <v>0</v>
      </c>
      <c r="I39" s="49">
        <v>0</v>
      </c>
      <c r="J39" s="49">
        <v>0</v>
      </c>
      <c r="K39" s="49">
        <v>0</v>
      </c>
      <c r="L39" s="49">
        <v>0</v>
      </c>
      <c r="M39" s="49">
        <v>0</v>
      </c>
      <c r="N39" s="49">
        <v>0</v>
      </c>
      <c r="O39" s="49">
        <v>0</v>
      </c>
      <c r="P39" s="49">
        <v>0</v>
      </c>
      <c r="Q39" s="49">
        <v>0</v>
      </c>
      <c r="R39" s="49">
        <v>0</v>
      </c>
      <c r="S39" s="49">
        <v>0</v>
      </c>
      <c r="T39" s="49">
        <v>0</v>
      </c>
      <c r="U39" s="49">
        <v>0</v>
      </c>
      <c r="V39" s="49">
        <v>0</v>
      </c>
      <c r="W39" s="49">
        <v>0</v>
      </c>
      <c r="X39" s="49">
        <v>0</v>
      </c>
      <c r="Y39" s="49">
        <v>0</v>
      </c>
      <c r="Z39" s="49">
        <v>0</v>
      </c>
      <c r="AA39" s="49">
        <v>0</v>
      </c>
      <c r="AB39" s="49">
        <v>0</v>
      </c>
      <c r="AC39" s="49">
        <v>0</v>
      </c>
      <c r="AD39" s="49">
        <v>0</v>
      </c>
      <c r="AE39" s="49">
        <v>0</v>
      </c>
      <c r="AF39" s="49">
        <v>0</v>
      </c>
      <c r="AG39" s="49">
        <v>0</v>
      </c>
      <c r="AH39" s="49">
        <v>0</v>
      </c>
      <c r="AI39" s="49">
        <v>0</v>
      </c>
      <c r="AJ39" s="49">
        <v>0</v>
      </c>
      <c r="AK39" s="49">
        <v>0</v>
      </c>
      <c r="AL39" s="49">
        <v>0</v>
      </c>
      <c r="AM39" s="49">
        <v>0</v>
      </c>
      <c r="AN39" s="49">
        <v>0</v>
      </c>
      <c r="AO39" s="49">
        <v>0</v>
      </c>
      <c r="AP39" s="49">
        <v>0</v>
      </c>
      <c r="AQ39" s="49">
        <v>0</v>
      </c>
      <c r="AR39" s="49">
        <v>0</v>
      </c>
      <c r="AS39" s="49">
        <v>0</v>
      </c>
      <c r="AT39" s="49">
        <v>0</v>
      </c>
      <c r="AU39" s="49">
        <v>0</v>
      </c>
      <c r="AV39" s="49">
        <v>0</v>
      </c>
      <c r="AW39" s="49">
        <v>0</v>
      </c>
      <c r="AX39" s="49">
        <v>0</v>
      </c>
      <c r="AY39" s="49">
        <v>0</v>
      </c>
      <c r="AZ39" s="49">
        <v>0</v>
      </c>
      <c r="BA39" s="49">
        <v>0</v>
      </c>
      <c r="BB39" s="49">
        <v>0</v>
      </c>
      <c r="BC39" s="49">
        <v>0</v>
      </c>
      <c r="BD39" s="49">
        <v>0</v>
      </c>
      <c r="BE39" s="49">
        <v>0</v>
      </c>
      <c r="BF39" s="49">
        <v>0</v>
      </c>
      <c r="BG39" s="49">
        <v>0</v>
      </c>
      <c r="BH39" s="49">
        <v>0</v>
      </c>
      <c r="BI39" s="49">
        <v>0</v>
      </c>
      <c r="BJ39" s="49">
        <v>0</v>
      </c>
      <c r="BK39" s="49">
        <v>0</v>
      </c>
      <c r="BL39" s="49">
        <v>0</v>
      </c>
      <c r="BM39" s="49">
        <v>0</v>
      </c>
      <c r="BN39" s="49">
        <v>0</v>
      </c>
      <c r="BO39" s="49">
        <v>0</v>
      </c>
      <c r="BP39" s="49">
        <v>0</v>
      </c>
      <c r="BQ39" s="49">
        <v>0</v>
      </c>
      <c r="BR39" s="49">
        <v>0</v>
      </c>
      <c r="BS39" s="49">
        <v>0</v>
      </c>
      <c r="BT39" s="49">
        <v>0</v>
      </c>
      <c r="BU39" s="49">
        <v>0</v>
      </c>
      <c r="BV39" s="49">
        <v>0</v>
      </c>
      <c r="BW39" s="49">
        <v>0</v>
      </c>
      <c r="BX39" s="49">
        <v>0</v>
      </c>
      <c r="BY39" s="49">
        <v>0</v>
      </c>
      <c r="BZ39" s="49">
        <v>0</v>
      </c>
      <c r="CA39" s="49">
        <v>0</v>
      </c>
      <c r="CB39" s="49">
        <v>0</v>
      </c>
      <c r="CC39" s="49">
        <v>0</v>
      </c>
      <c r="CD39" s="49">
        <v>0</v>
      </c>
      <c r="CE39" s="49">
        <v>0</v>
      </c>
      <c r="CF39" s="49">
        <v>0</v>
      </c>
      <c r="CG39" s="49">
        <v>0</v>
      </c>
      <c r="CH39" s="49">
        <v>0</v>
      </c>
      <c r="CI39" s="49">
        <v>0</v>
      </c>
      <c r="CJ39" s="49">
        <v>0</v>
      </c>
      <c r="CK39" s="49">
        <v>0</v>
      </c>
      <c r="CL39"/>
      <c r="CN39" s="29"/>
      <c r="CO39" s="37"/>
    </row>
    <row r="40" spans="1:93" ht="15" x14ac:dyDescent="0.25">
      <c r="A40" s="34"/>
      <c r="B40" s="30"/>
      <c r="C40" s="58" t="s">
        <v>217</v>
      </c>
      <c r="D40" s="59" t="s">
        <v>260</v>
      </c>
      <c r="E40" s="54">
        <v>0</v>
      </c>
      <c r="F40" s="49">
        <v>0</v>
      </c>
      <c r="G40" s="49">
        <v>0</v>
      </c>
      <c r="H40" s="49">
        <v>0</v>
      </c>
      <c r="I40" s="49">
        <v>0</v>
      </c>
      <c r="J40" s="49">
        <v>0</v>
      </c>
      <c r="K40" s="49">
        <v>0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0</v>
      </c>
      <c r="U40" s="49">
        <v>0</v>
      </c>
      <c r="V40" s="49">
        <v>0</v>
      </c>
      <c r="W40" s="49">
        <v>0</v>
      </c>
      <c r="X40" s="49">
        <v>0</v>
      </c>
      <c r="Y40" s="49">
        <v>0</v>
      </c>
      <c r="Z40" s="49">
        <v>0</v>
      </c>
      <c r="AA40" s="49">
        <v>0</v>
      </c>
      <c r="AB40" s="49">
        <v>0</v>
      </c>
      <c r="AC40" s="49">
        <v>0</v>
      </c>
      <c r="AD40" s="49">
        <v>0</v>
      </c>
      <c r="AE40" s="49">
        <v>0</v>
      </c>
      <c r="AF40" s="49">
        <v>0</v>
      </c>
      <c r="AG40" s="49">
        <v>0</v>
      </c>
      <c r="AH40" s="49">
        <v>0</v>
      </c>
      <c r="AI40" s="49">
        <v>0</v>
      </c>
      <c r="AJ40" s="49">
        <v>0</v>
      </c>
      <c r="AK40" s="49">
        <v>0</v>
      </c>
      <c r="AL40" s="49">
        <v>0</v>
      </c>
      <c r="AM40" s="49">
        <v>0</v>
      </c>
      <c r="AN40" s="49">
        <v>0</v>
      </c>
      <c r="AO40" s="49">
        <v>0</v>
      </c>
      <c r="AP40" s="49">
        <v>0</v>
      </c>
      <c r="AQ40" s="49">
        <v>0</v>
      </c>
      <c r="AR40" s="49">
        <v>0</v>
      </c>
      <c r="AS40" s="49">
        <v>0</v>
      </c>
      <c r="AT40" s="49">
        <v>0</v>
      </c>
      <c r="AU40" s="49">
        <v>0</v>
      </c>
      <c r="AV40" s="49">
        <v>0</v>
      </c>
      <c r="AW40" s="49">
        <v>0</v>
      </c>
      <c r="AX40" s="49">
        <v>0</v>
      </c>
      <c r="AY40" s="49">
        <v>0</v>
      </c>
      <c r="AZ40" s="49">
        <v>0</v>
      </c>
      <c r="BA40" s="49">
        <v>0</v>
      </c>
      <c r="BB40" s="49">
        <v>0</v>
      </c>
      <c r="BC40" s="49">
        <v>0</v>
      </c>
      <c r="BD40" s="49">
        <v>0</v>
      </c>
      <c r="BE40" s="49">
        <v>0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49">
        <v>0</v>
      </c>
      <c r="BW40" s="49">
        <v>0</v>
      </c>
      <c r="BX40" s="49">
        <v>0</v>
      </c>
      <c r="BY40" s="49">
        <v>0</v>
      </c>
      <c r="BZ40" s="49">
        <v>0</v>
      </c>
      <c r="CA40" s="49">
        <v>0</v>
      </c>
      <c r="CB40" s="49">
        <v>0</v>
      </c>
      <c r="CC40" s="49">
        <v>0</v>
      </c>
      <c r="CD40" s="49">
        <v>0</v>
      </c>
      <c r="CE40" s="49">
        <v>0</v>
      </c>
      <c r="CF40" s="49">
        <v>0</v>
      </c>
      <c r="CG40" s="49">
        <v>0</v>
      </c>
      <c r="CH40" s="49">
        <v>0</v>
      </c>
      <c r="CI40" s="49">
        <v>0</v>
      </c>
      <c r="CJ40" s="49">
        <v>0</v>
      </c>
      <c r="CK40" s="49">
        <v>0</v>
      </c>
      <c r="CL40"/>
      <c r="CN40" s="29"/>
      <c r="CO40" s="37"/>
    </row>
    <row r="41" spans="1:93" ht="15" x14ac:dyDescent="0.25">
      <c r="A41" s="34"/>
      <c r="B41" s="30"/>
      <c r="C41" s="58" t="s">
        <v>218</v>
      </c>
      <c r="D41" s="59" t="s">
        <v>260</v>
      </c>
      <c r="E41" s="54">
        <v>0</v>
      </c>
      <c r="F41" s="49">
        <v>0</v>
      </c>
      <c r="G41" s="49">
        <v>0</v>
      </c>
      <c r="H41" s="49">
        <v>0</v>
      </c>
      <c r="I41" s="49">
        <v>0</v>
      </c>
      <c r="J41" s="49">
        <v>0</v>
      </c>
      <c r="K41" s="49">
        <v>0</v>
      </c>
      <c r="L41" s="49">
        <v>0</v>
      </c>
      <c r="M41" s="49">
        <v>0</v>
      </c>
      <c r="N41" s="49">
        <v>0</v>
      </c>
      <c r="O41" s="49">
        <v>0</v>
      </c>
      <c r="P41" s="49">
        <v>0</v>
      </c>
      <c r="Q41" s="49">
        <v>0</v>
      </c>
      <c r="R41" s="49">
        <v>0</v>
      </c>
      <c r="S41" s="49">
        <v>0</v>
      </c>
      <c r="T41" s="49">
        <v>0</v>
      </c>
      <c r="U41" s="49">
        <v>0</v>
      </c>
      <c r="V41" s="49">
        <v>0</v>
      </c>
      <c r="W41" s="49">
        <v>0</v>
      </c>
      <c r="X41" s="49">
        <v>0</v>
      </c>
      <c r="Y41" s="49">
        <v>0</v>
      </c>
      <c r="Z41" s="49">
        <v>0</v>
      </c>
      <c r="AA41" s="49">
        <v>0</v>
      </c>
      <c r="AB41" s="49">
        <v>0</v>
      </c>
      <c r="AC41" s="49">
        <v>0</v>
      </c>
      <c r="AD41" s="49">
        <v>0</v>
      </c>
      <c r="AE41" s="49">
        <v>0</v>
      </c>
      <c r="AF41" s="49">
        <v>0</v>
      </c>
      <c r="AG41" s="49">
        <v>0</v>
      </c>
      <c r="AH41" s="49">
        <v>0</v>
      </c>
      <c r="AI41" s="49">
        <v>0</v>
      </c>
      <c r="AJ41" s="49">
        <v>0</v>
      </c>
      <c r="AK41" s="49">
        <v>0</v>
      </c>
      <c r="AL41" s="49">
        <v>0</v>
      </c>
      <c r="AM41" s="49">
        <v>0</v>
      </c>
      <c r="AN41" s="49">
        <v>0</v>
      </c>
      <c r="AO41" s="49">
        <v>0</v>
      </c>
      <c r="AP41" s="49">
        <v>0</v>
      </c>
      <c r="AQ41" s="49">
        <v>0</v>
      </c>
      <c r="AR41" s="49">
        <v>0</v>
      </c>
      <c r="AS41" s="49">
        <v>0</v>
      </c>
      <c r="AT41" s="49">
        <v>0</v>
      </c>
      <c r="AU41" s="49">
        <v>0</v>
      </c>
      <c r="AV41" s="49">
        <v>0</v>
      </c>
      <c r="AW41" s="49">
        <v>0</v>
      </c>
      <c r="AX41" s="49">
        <v>0</v>
      </c>
      <c r="AY41" s="49">
        <v>0</v>
      </c>
      <c r="AZ41" s="49">
        <v>0</v>
      </c>
      <c r="BA41" s="49">
        <v>0</v>
      </c>
      <c r="BB41" s="49">
        <v>0</v>
      </c>
      <c r="BC41" s="49">
        <v>0</v>
      </c>
      <c r="BD41" s="49">
        <v>0</v>
      </c>
      <c r="BE41" s="49">
        <v>0</v>
      </c>
      <c r="BF41" s="49">
        <v>0</v>
      </c>
      <c r="BG41" s="49">
        <v>0</v>
      </c>
      <c r="BH41" s="49">
        <v>0</v>
      </c>
      <c r="BI41" s="49">
        <v>0</v>
      </c>
      <c r="BJ41" s="49">
        <v>0</v>
      </c>
      <c r="BK41" s="49">
        <v>0</v>
      </c>
      <c r="BL41" s="49">
        <v>0</v>
      </c>
      <c r="BM41" s="49">
        <v>0</v>
      </c>
      <c r="BN41" s="49">
        <v>0</v>
      </c>
      <c r="BO41" s="49">
        <v>0</v>
      </c>
      <c r="BP41" s="49">
        <v>0</v>
      </c>
      <c r="BQ41" s="49">
        <v>0</v>
      </c>
      <c r="BR41" s="49">
        <v>0</v>
      </c>
      <c r="BS41" s="49">
        <v>0</v>
      </c>
      <c r="BT41" s="49">
        <v>0</v>
      </c>
      <c r="BU41" s="49">
        <v>0</v>
      </c>
      <c r="BV41" s="49">
        <v>0</v>
      </c>
      <c r="BW41" s="49">
        <v>0</v>
      </c>
      <c r="BX41" s="49">
        <v>0</v>
      </c>
      <c r="BY41" s="49">
        <v>0</v>
      </c>
      <c r="BZ41" s="49">
        <v>0</v>
      </c>
      <c r="CA41" s="49">
        <v>0</v>
      </c>
      <c r="CB41" s="49">
        <v>0</v>
      </c>
      <c r="CC41" s="49">
        <v>0</v>
      </c>
      <c r="CD41" s="49">
        <v>0</v>
      </c>
      <c r="CE41" s="49">
        <v>0</v>
      </c>
      <c r="CF41" s="49">
        <v>0</v>
      </c>
      <c r="CG41" s="49">
        <v>0</v>
      </c>
      <c r="CH41" s="49">
        <v>0</v>
      </c>
      <c r="CI41" s="49">
        <v>0</v>
      </c>
      <c r="CJ41" s="49">
        <v>0</v>
      </c>
      <c r="CK41" s="49">
        <v>0</v>
      </c>
      <c r="CL41"/>
      <c r="CN41" s="29"/>
      <c r="CO41" s="37"/>
    </row>
    <row r="42" spans="1:93" ht="15" x14ac:dyDescent="0.25">
      <c r="A42" s="34"/>
      <c r="B42" s="30"/>
      <c r="C42" s="58" t="s">
        <v>219</v>
      </c>
      <c r="D42" s="59" t="s">
        <v>260</v>
      </c>
      <c r="E42" s="54">
        <v>0</v>
      </c>
      <c r="F42" s="49">
        <v>0</v>
      </c>
      <c r="G42" s="49">
        <v>0</v>
      </c>
      <c r="H42" s="49">
        <v>0</v>
      </c>
      <c r="I42" s="49">
        <v>0</v>
      </c>
      <c r="J42" s="49">
        <v>0</v>
      </c>
      <c r="K42" s="49">
        <v>0</v>
      </c>
      <c r="L42" s="49">
        <v>0</v>
      </c>
      <c r="M42" s="49">
        <v>0</v>
      </c>
      <c r="N42" s="49">
        <v>0</v>
      </c>
      <c r="O42" s="49">
        <v>0</v>
      </c>
      <c r="P42" s="49">
        <v>0</v>
      </c>
      <c r="Q42" s="49">
        <v>0</v>
      </c>
      <c r="R42" s="49">
        <v>0</v>
      </c>
      <c r="S42" s="49">
        <v>0</v>
      </c>
      <c r="T42" s="49">
        <v>0</v>
      </c>
      <c r="U42" s="49">
        <v>0</v>
      </c>
      <c r="V42" s="49">
        <v>0</v>
      </c>
      <c r="W42" s="49">
        <v>0</v>
      </c>
      <c r="X42" s="49">
        <v>0</v>
      </c>
      <c r="Y42" s="49">
        <v>0</v>
      </c>
      <c r="Z42" s="49">
        <v>0</v>
      </c>
      <c r="AA42" s="49">
        <v>0</v>
      </c>
      <c r="AB42" s="49">
        <v>0</v>
      </c>
      <c r="AC42" s="49">
        <v>0</v>
      </c>
      <c r="AD42" s="49">
        <v>0</v>
      </c>
      <c r="AE42" s="49">
        <v>0</v>
      </c>
      <c r="AF42" s="49">
        <v>0</v>
      </c>
      <c r="AG42" s="49">
        <v>0</v>
      </c>
      <c r="AH42" s="49">
        <v>0</v>
      </c>
      <c r="AI42" s="49">
        <v>0</v>
      </c>
      <c r="AJ42" s="49">
        <v>0</v>
      </c>
      <c r="AK42" s="49">
        <v>0</v>
      </c>
      <c r="AL42" s="49">
        <v>0</v>
      </c>
      <c r="AM42" s="49">
        <v>0</v>
      </c>
      <c r="AN42" s="49">
        <v>0</v>
      </c>
      <c r="AO42" s="49">
        <v>0</v>
      </c>
      <c r="AP42" s="49">
        <v>0</v>
      </c>
      <c r="AQ42" s="49">
        <v>0</v>
      </c>
      <c r="AR42" s="49">
        <v>0</v>
      </c>
      <c r="AS42" s="49">
        <v>0</v>
      </c>
      <c r="AT42" s="49">
        <v>0</v>
      </c>
      <c r="AU42" s="49">
        <v>0</v>
      </c>
      <c r="AV42" s="49">
        <v>0</v>
      </c>
      <c r="AW42" s="49">
        <v>0</v>
      </c>
      <c r="AX42" s="49">
        <v>0</v>
      </c>
      <c r="AY42" s="49">
        <v>0</v>
      </c>
      <c r="AZ42" s="49">
        <v>0</v>
      </c>
      <c r="BA42" s="49">
        <v>0</v>
      </c>
      <c r="BB42" s="49">
        <v>0</v>
      </c>
      <c r="BC42" s="49">
        <v>0</v>
      </c>
      <c r="BD42" s="49">
        <v>0</v>
      </c>
      <c r="BE42" s="49">
        <v>0</v>
      </c>
      <c r="BF42" s="49">
        <v>0</v>
      </c>
      <c r="BG42" s="49">
        <v>0</v>
      </c>
      <c r="BH42" s="49">
        <v>0</v>
      </c>
      <c r="BI42" s="49">
        <v>0</v>
      </c>
      <c r="BJ42" s="49">
        <v>0</v>
      </c>
      <c r="BK42" s="49">
        <v>0</v>
      </c>
      <c r="BL42" s="49">
        <v>0</v>
      </c>
      <c r="BM42" s="49">
        <v>0</v>
      </c>
      <c r="BN42" s="49">
        <v>0</v>
      </c>
      <c r="BO42" s="49">
        <v>0</v>
      </c>
      <c r="BP42" s="49">
        <v>0</v>
      </c>
      <c r="BQ42" s="49">
        <v>0</v>
      </c>
      <c r="BR42" s="49">
        <v>0</v>
      </c>
      <c r="BS42" s="49">
        <v>0</v>
      </c>
      <c r="BT42" s="49">
        <v>0</v>
      </c>
      <c r="BU42" s="49">
        <v>0</v>
      </c>
      <c r="BV42" s="49">
        <v>0</v>
      </c>
      <c r="BW42" s="49">
        <v>0</v>
      </c>
      <c r="BX42" s="49">
        <v>0</v>
      </c>
      <c r="BY42" s="49">
        <v>0</v>
      </c>
      <c r="BZ42" s="49">
        <v>0</v>
      </c>
      <c r="CA42" s="49">
        <v>0</v>
      </c>
      <c r="CB42" s="49">
        <v>0</v>
      </c>
      <c r="CC42" s="49">
        <v>0</v>
      </c>
      <c r="CD42" s="49">
        <v>0</v>
      </c>
      <c r="CE42" s="49">
        <v>0</v>
      </c>
      <c r="CF42" s="49">
        <v>0</v>
      </c>
      <c r="CG42" s="49">
        <v>0</v>
      </c>
      <c r="CH42" s="49">
        <v>0</v>
      </c>
      <c r="CI42" s="49">
        <v>0</v>
      </c>
      <c r="CJ42" s="49">
        <v>0</v>
      </c>
      <c r="CK42" s="49">
        <v>0</v>
      </c>
      <c r="CL42"/>
      <c r="CN42" s="29"/>
      <c r="CO42" s="37"/>
    </row>
    <row r="43" spans="1:93" ht="15" x14ac:dyDescent="0.25">
      <c r="A43" s="34"/>
      <c r="B43" s="30"/>
      <c r="C43" s="58" t="s">
        <v>220</v>
      </c>
      <c r="D43" s="59" t="s">
        <v>260</v>
      </c>
      <c r="E43" s="54">
        <v>0</v>
      </c>
      <c r="F43" s="49">
        <v>0</v>
      </c>
      <c r="G43" s="49">
        <v>0</v>
      </c>
      <c r="H43" s="49">
        <v>0</v>
      </c>
      <c r="I43" s="49">
        <v>0</v>
      </c>
      <c r="J43" s="49">
        <v>0</v>
      </c>
      <c r="K43" s="49">
        <v>0</v>
      </c>
      <c r="L43" s="49">
        <v>0</v>
      </c>
      <c r="M43" s="49">
        <v>0</v>
      </c>
      <c r="N43" s="49">
        <v>0</v>
      </c>
      <c r="O43" s="49">
        <v>0</v>
      </c>
      <c r="P43" s="49">
        <v>0</v>
      </c>
      <c r="Q43" s="49">
        <v>0</v>
      </c>
      <c r="R43" s="49">
        <v>0</v>
      </c>
      <c r="S43" s="49">
        <v>0</v>
      </c>
      <c r="T43" s="49">
        <v>0</v>
      </c>
      <c r="U43" s="49">
        <v>0</v>
      </c>
      <c r="V43" s="49">
        <v>0</v>
      </c>
      <c r="W43" s="49">
        <v>0</v>
      </c>
      <c r="X43" s="49">
        <v>0</v>
      </c>
      <c r="Y43" s="49">
        <v>0</v>
      </c>
      <c r="Z43" s="49">
        <v>0</v>
      </c>
      <c r="AA43" s="49">
        <v>0</v>
      </c>
      <c r="AB43" s="49">
        <v>0</v>
      </c>
      <c r="AC43" s="49">
        <v>0</v>
      </c>
      <c r="AD43" s="49">
        <v>0</v>
      </c>
      <c r="AE43" s="49">
        <v>0</v>
      </c>
      <c r="AF43" s="49">
        <v>0</v>
      </c>
      <c r="AG43" s="49">
        <v>0</v>
      </c>
      <c r="AH43" s="49">
        <v>0</v>
      </c>
      <c r="AI43" s="49">
        <v>0</v>
      </c>
      <c r="AJ43" s="49">
        <v>0</v>
      </c>
      <c r="AK43" s="49">
        <v>0</v>
      </c>
      <c r="AL43" s="49">
        <v>0</v>
      </c>
      <c r="AM43" s="49">
        <v>0</v>
      </c>
      <c r="AN43" s="49">
        <v>0</v>
      </c>
      <c r="AO43" s="49">
        <v>0</v>
      </c>
      <c r="AP43" s="49">
        <v>0</v>
      </c>
      <c r="AQ43" s="49">
        <v>0</v>
      </c>
      <c r="AR43" s="49">
        <v>0</v>
      </c>
      <c r="AS43" s="49">
        <v>0</v>
      </c>
      <c r="AT43" s="49">
        <v>0</v>
      </c>
      <c r="AU43" s="49">
        <v>0</v>
      </c>
      <c r="AV43" s="49">
        <v>0</v>
      </c>
      <c r="AW43" s="49">
        <v>0</v>
      </c>
      <c r="AX43" s="49">
        <v>0</v>
      </c>
      <c r="AY43" s="49">
        <v>0</v>
      </c>
      <c r="AZ43" s="49">
        <v>0</v>
      </c>
      <c r="BA43" s="49">
        <v>0</v>
      </c>
      <c r="BB43" s="49">
        <v>0</v>
      </c>
      <c r="BC43" s="49">
        <v>0</v>
      </c>
      <c r="BD43" s="49">
        <v>0</v>
      </c>
      <c r="BE43" s="49">
        <v>0</v>
      </c>
      <c r="BF43" s="49">
        <v>0</v>
      </c>
      <c r="BG43" s="49">
        <v>0</v>
      </c>
      <c r="BH43" s="49">
        <v>0</v>
      </c>
      <c r="BI43" s="49">
        <v>0</v>
      </c>
      <c r="BJ43" s="49">
        <v>0</v>
      </c>
      <c r="BK43" s="49">
        <v>0</v>
      </c>
      <c r="BL43" s="49">
        <v>0</v>
      </c>
      <c r="BM43" s="49">
        <v>0</v>
      </c>
      <c r="BN43" s="49">
        <v>0</v>
      </c>
      <c r="BO43" s="49">
        <v>0</v>
      </c>
      <c r="BP43" s="49">
        <v>0</v>
      </c>
      <c r="BQ43" s="49">
        <v>0</v>
      </c>
      <c r="BR43" s="49">
        <v>0</v>
      </c>
      <c r="BS43" s="49">
        <v>0</v>
      </c>
      <c r="BT43" s="49">
        <v>0</v>
      </c>
      <c r="BU43" s="49">
        <v>0</v>
      </c>
      <c r="BV43" s="49">
        <v>0</v>
      </c>
      <c r="BW43" s="49">
        <v>0</v>
      </c>
      <c r="BX43" s="49">
        <v>0</v>
      </c>
      <c r="BY43" s="49">
        <v>0</v>
      </c>
      <c r="BZ43" s="49">
        <v>0</v>
      </c>
      <c r="CA43" s="49">
        <v>0</v>
      </c>
      <c r="CB43" s="49">
        <v>0</v>
      </c>
      <c r="CC43" s="49">
        <v>0</v>
      </c>
      <c r="CD43" s="49">
        <v>0</v>
      </c>
      <c r="CE43" s="49">
        <v>0</v>
      </c>
      <c r="CF43" s="49">
        <v>0</v>
      </c>
      <c r="CG43" s="49">
        <v>0</v>
      </c>
      <c r="CH43" s="49">
        <v>0</v>
      </c>
      <c r="CI43" s="49">
        <v>0</v>
      </c>
      <c r="CJ43" s="49">
        <v>0</v>
      </c>
      <c r="CK43" s="49">
        <v>0</v>
      </c>
      <c r="CL43"/>
      <c r="CN43" s="29"/>
      <c r="CO43" s="37"/>
    </row>
    <row r="44" spans="1:93" ht="15" x14ac:dyDescent="0.25">
      <c r="A44" s="34"/>
      <c r="B44" s="30"/>
      <c r="C44" s="58" t="s">
        <v>221</v>
      </c>
      <c r="D44" s="59" t="s">
        <v>260</v>
      </c>
      <c r="E44" s="54">
        <v>0</v>
      </c>
      <c r="F44" s="49">
        <v>0</v>
      </c>
      <c r="G44" s="49">
        <v>0</v>
      </c>
      <c r="H44" s="49">
        <v>0</v>
      </c>
      <c r="I44" s="49">
        <v>0</v>
      </c>
      <c r="J44" s="49">
        <v>0</v>
      </c>
      <c r="K44" s="49">
        <v>0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0</v>
      </c>
      <c r="R44" s="49">
        <v>0</v>
      </c>
      <c r="S44" s="49">
        <v>0</v>
      </c>
      <c r="T44" s="49">
        <v>0</v>
      </c>
      <c r="U44" s="49">
        <v>0</v>
      </c>
      <c r="V44" s="49">
        <v>0</v>
      </c>
      <c r="W44" s="49">
        <v>0</v>
      </c>
      <c r="X44" s="49">
        <v>0</v>
      </c>
      <c r="Y44" s="49">
        <v>0</v>
      </c>
      <c r="Z44" s="49">
        <v>0</v>
      </c>
      <c r="AA44" s="49">
        <v>0</v>
      </c>
      <c r="AB44" s="49">
        <v>0</v>
      </c>
      <c r="AC44" s="49">
        <v>0</v>
      </c>
      <c r="AD44" s="49">
        <v>0</v>
      </c>
      <c r="AE44" s="49">
        <v>0</v>
      </c>
      <c r="AF44" s="49">
        <v>0</v>
      </c>
      <c r="AG44" s="49">
        <v>0</v>
      </c>
      <c r="AH44" s="49">
        <v>0</v>
      </c>
      <c r="AI44" s="49">
        <v>0</v>
      </c>
      <c r="AJ44" s="49">
        <v>0</v>
      </c>
      <c r="AK44" s="49">
        <v>0</v>
      </c>
      <c r="AL44" s="49">
        <v>0</v>
      </c>
      <c r="AM44" s="49">
        <v>0</v>
      </c>
      <c r="AN44" s="49">
        <v>0</v>
      </c>
      <c r="AO44" s="49">
        <v>0</v>
      </c>
      <c r="AP44" s="49">
        <v>0</v>
      </c>
      <c r="AQ44" s="49">
        <v>0</v>
      </c>
      <c r="AR44" s="49">
        <v>0</v>
      </c>
      <c r="AS44" s="49">
        <v>0</v>
      </c>
      <c r="AT44" s="49">
        <v>0</v>
      </c>
      <c r="AU44" s="49">
        <v>0</v>
      </c>
      <c r="AV44" s="49">
        <v>0</v>
      </c>
      <c r="AW44" s="49">
        <v>0</v>
      </c>
      <c r="AX44" s="49">
        <v>0</v>
      </c>
      <c r="AY44" s="49">
        <v>0</v>
      </c>
      <c r="AZ44" s="49">
        <v>0</v>
      </c>
      <c r="BA44" s="49">
        <v>0</v>
      </c>
      <c r="BB44" s="49">
        <v>0</v>
      </c>
      <c r="BC44" s="49">
        <v>0</v>
      </c>
      <c r="BD44" s="49">
        <v>0</v>
      </c>
      <c r="BE44" s="49">
        <v>0</v>
      </c>
      <c r="BF44" s="49">
        <v>0</v>
      </c>
      <c r="BG44" s="49">
        <v>0</v>
      </c>
      <c r="BH44" s="49">
        <v>0</v>
      </c>
      <c r="BI44" s="49">
        <v>0</v>
      </c>
      <c r="BJ44" s="49">
        <v>0</v>
      </c>
      <c r="BK44" s="49">
        <v>0</v>
      </c>
      <c r="BL44" s="49">
        <v>0</v>
      </c>
      <c r="BM44" s="49">
        <v>0</v>
      </c>
      <c r="BN44" s="49">
        <v>0</v>
      </c>
      <c r="BO44" s="49">
        <v>0</v>
      </c>
      <c r="BP44" s="49">
        <v>0</v>
      </c>
      <c r="BQ44" s="49">
        <v>0</v>
      </c>
      <c r="BR44" s="49">
        <v>0</v>
      </c>
      <c r="BS44" s="49">
        <v>0</v>
      </c>
      <c r="BT44" s="49">
        <v>0</v>
      </c>
      <c r="BU44" s="49">
        <v>0</v>
      </c>
      <c r="BV44" s="49">
        <v>0</v>
      </c>
      <c r="BW44" s="49">
        <v>0</v>
      </c>
      <c r="BX44" s="49">
        <v>0</v>
      </c>
      <c r="BY44" s="49">
        <v>0</v>
      </c>
      <c r="BZ44" s="49">
        <v>0</v>
      </c>
      <c r="CA44" s="49">
        <v>0</v>
      </c>
      <c r="CB44" s="49">
        <v>0</v>
      </c>
      <c r="CC44" s="49">
        <v>0</v>
      </c>
      <c r="CD44" s="49">
        <v>0</v>
      </c>
      <c r="CE44" s="49">
        <v>0</v>
      </c>
      <c r="CF44" s="49">
        <v>0</v>
      </c>
      <c r="CG44" s="49">
        <v>0</v>
      </c>
      <c r="CH44" s="49">
        <v>0</v>
      </c>
      <c r="CI44" s="49">
        <v>0</v>
      </c>
      <c r="CJ44" s="49">
        <v>0</v>
      </c>
      <c r="CK44" s="49">
        <v>0</v>
      </c>
      <c r="CL44"/>
      <c r="CN44" s="29"/>
      <c r="CO44" s="37"/>
    </row>
    <row r="45" spans="1:93" ht="15" x14ac:dyDescent="0.25">
      <c r="A45" s="34"/>
      <c r="B45" s="30"/>
      <c r="C45" s="58" t="s">
        <v>222</v>
      </c>
      <c r="D45" s="59" t="s">
        <v>260</v>
      </c>
      <c r="E45" s="54">
        <v>0</v>
      </c>
      <c r="F45" s="49">
        <v>0</v>
      </c>
      <c r="G45" s="49">
        <v>0</v>
      </c>
      <c r="H45" s="49">
        <v>0</v>
      </c>
      <c r="I45" s="49">
        <v>0</v>
      </c>
      <c r="J45" s="49">
        <v>0</v>
      </c>
      <c r="K45" s="49">
        <v>0</v>
      </c>
      <c r="L45" s="49">
        <v>0</v>
      </c>
      <c r="M45" s="49">
        <v>0</v>
      </c>
      <c r="N45" s="49">
        <v>0</v>
      </c>
      <c r="O45" s="49">
        <v>0</v>
      </c>
      <c r="P45" s="49">
        <v>0</v>
      </c>
      <c r="Q45" s="49">
        <v>0</v>
      </c>
      <c r="R45" s="49">
        <v>0</v>
      </c>
      <c r="S45" s="49">
        <v>0</v>
      </c>
      <c r="T45" s="49">
        <v>0</v>
      </c>
      <c r="U45" s="49">
        <v>0</v>
      </c>
      <c r="V45" s="49">
        <v>0</v>
      </c>
      <c r="W45" s="49">
        <v>0</v>
      </c>
      <c r="X45" s="49">
        <v>0</v>
      </c>
      <c r="Y45" s="49">
        <v>0</v>
      </c>
      <c r="Z45" s="49">
        <v>0</v>
      </c>
      <c r="AA45" s="49">
        <v>0</v>
      </c>
      <c r="AB45" s="49">
        <v>0</v>
      </c>
      <c r="AC45" s="49">
        <v>0</v>
      </c>
      <c r="AD45" s="49">
        <v>0</v>
      </c>
      <c r="AE45" s="49">
        <v>0</v>
      </c>
      <c r="AF45" s="49">
        <v>0</v>
      </c>
      <c r="AG45" s="49">
        <v>0</v>
      </c>
      <c r="AH45" s="49">
        <v>0</v>
      </c>
      <c r="AI45" s="49">
        <v>0</v>
      </c>
      <c r="AJ45" s="49">
        <v>0</v>
      </c>
      <c r="AK45" s="49">
        <v>0</v>
      </c>
      <c r="AL45" s="49">
        <v>0</v>
      </c>
      <c r="AM45" s="49">
        <v>0</v>
      </c>
      <c r="AN45" s="49">
        <v>0</v>
      </c>
      <c r="AO45" s="49">
        <v>0</v>
      </c>
      <c r="AP45" s="49">
        <v>0</v>
      </c>
      <c r="AQ45" s="49">
        <v>0</v>
      </c>
      <c r="AR45" s="49">
        <v>0</v>
      </c>
      <c r="AS45" s="49">
        <v>0</v>
      </c>
      <c r="AT45" s="49">
        <v>0</v>
      </c>
      <c r="AU45" s="49">
        <v>0</v>
      </c>
      <c r="AV45" s="49">
        <v>0</v>
      </c>
      <c r="AW45" s="49">
        <v>0</v>
      </c>
      <c r="AX45" s="49">
        <v>0</v>
      </c>
      <c r="AY45" s="49">
        <v>0</v>
      </c>
      <c r="AZ45" s="49">
        <v>0</v>
      </c>
      <c r="BA45" s="49">
        <v>0</v>
      </c>
      <c r="BB45" s="49">
        <v>0</v>
      </c>
      <c r="BC45" s="49">
        <v>0</v>
      </c>
      <c r="BD45" s="49">
        <v>0</v>
      </c>
      <c r="BE45" s="49">
        <v>0</v>
      </c>
      <c r="BF45" s="49">
        <v>0</v>
      </c>
      <c r="BG45" s="49">
        <v>0</v>
      </c>
      <c r="BH45" s="49">
        <v>0</v>
      </c>
      <c r="BI45" s="49">
        <v>0</v>
      </c>
      <c r="BJ45" s="49">
        <v>0</v>
      </c>
      <c r="BK45" s="49">
        <v>0</v>
      </c>
      <c r="BL45" s="49">
        <v>0</v>
      </c>
      <c r="BM45" s="49">
        <v>0</v>
      </c>
      <c r="BN45" s="49">
        <v>0</v>
      </c>
      <c r="BO45" s="49">
        <v>0</v>
      </c>
      <c r="BP45" s="49">
        <v>0</v>
      </c>
      <c r="BQ45" s="49">
        <v>0</v>
      </c>
      <c r="BR45" s="49">
        <v>0</v>
      </c>
      <c r="BS45" s="49">
        <v>0</v>
      </c>
      <c r="BT45" s="49">
        <v>0</v>
      </c>
      <c r="BU45" s="49">
        <v>0</v>
      </c>
      <c r="BV45" s="49">
        <v>0</v>
      </c>
      <c r="BW45" s="49">
        <v>0</v>
      </c>
      <c r="BX45" s="49">
        <v>0</v>
      </c>
      <c r="BY45" s="49">
        <v>0</v>
      </c>
      <c r="BZ45" s="49">
        <v>0</v>
      </c>
      <c r="CA45" s="49">
        <v>0</v>
      </c>
      <c r="CB45" s="49">
        <v>0</v>
      </c>
      <c r="CC45" s="49">
        <v>0</v>
      </c>
      <c r="CD45" s="49">
        <v>0</v>
      </c>
      <c r="CE45" s="49">
        <v>0</v>
      </c>
      <c r="CF45" s="49">
        <v>0</v>
      </c>
      <c r="CG45" s="49">
        <v>0</v>
      </c>
      <c r="CH45" s="49">
        <v>0</v>
      </c>
      <c r="CI45" s="49">
        <v>0</v>
      </c>
      <c r="CJ45" s="49">
        <v>0</v>
      </c>
      <c r="CK45" s="49">
        <v>0</v>
      </c>
      <c r="CL45"/>
      <c r="CN45" s="29"/>
      <c r="CO45" s="37"/>
    </row>
    <row r="46" spans="1:93" ht="15" x14ac:dyDescent="0.25">
      <c r="A46" s="34"/>
      <c r="B46" s="30"/>
      <c r="C46" s="58" t="s">
        <v>223</v>
      </c>
      <c r="D46" s="59" t="s">
        <v>260</v>
      </c>
      <c r="E46" s="54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9">
        <v>0</v>
      </c>
      <c r="V46" s="49">
        <v>0</v>
      </c>
      <c r="W46" s="49">
        <v>0</v>
      </c>
      <c r="X46" s="49">
        <v>0</v>
      </c>
      <c r="Y46" s="49">
        <v>0</v>
      </c>
      <c r="Z46" s="49">
        <v>0</v>
      </c>
      <c r="AA46" s="49">
        <v>0</v>
      </c>
      <c r="AB46" s="49">
        <v>0</v>
      </c>
      <c r="AC46" s="49">
        <v>0</v>
      </c>
      <c r="AD46" s="49">
        <v>0</v>
      </c>
      <c r="AE46" s="49">
        <v>0</v>
      </c>
      <c r="AF46" s="49">
        <v>0</v>
      </c>
      <c r="AG46" s="49">
        <v>0</v>
      </c>
      <c r="AH46" s="49">
        <v>0</v>
      </c>
      <c r="AI46" s="49">
        <v>0</v>
      </c>
      <c r="AJ46" s="49">
        <v>0</v>
      </c>
      <c r="AK46" s="49">
        <v>0</v>
      </c>
      <c r="AL46" s="49">
        <v>0</v>
      </c>
      <c r="AM46" s="49">
        <v>0</v>
      </c>
      <c r="AN46" s="49">
        <v>0</v>
      </c>
      <c r="AO46" s="49">
        <v>0</v>
      </c>
      <c r="AP46" s="49">
        <v>0</v>
      </c>
      <c r="AQ46" s="49">
        <v>0</v>
      </c>
      <c r="AR46" s="49">
        <v>0</v>
      </c>
      <c r="AS46" s="49">
        <v>0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0</v>
      </c>
      <c r="BA46" s="49">
        <v>0</v>
      </c>
      <c r="BB46" s="49">
        <v>0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0</v>
      </c>
      <c r="BJ46" s="49">
        <v>0</v>
      </c>
      <c r="BK46" s="49">
        <v>0</v>
      </c>
      <c r="BL46" s="49">
        <v>0</v>
      </c>
      <c r="BM46" s="49">
        <v>0</v>
      </c>
      <c r="BN46" s="49">
        <v>0</v>
      </c>
      <c r="BO46" s="49">
        <v>0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49">
        <v>0</v>
      </c>
      <c r="BW46" s="49">
        <v>0</v>
      </c>
      <c r="BX46" s="49">
        <v>0</v>
      </c>
      <c r="BY46" s="49">
        <v>0</v>
      </c>
      <c r="BZ46" s="49">
        <v>0</v>
      </c>
      <c r="CA46" s="49">
        <v>0</v>
      </c>
      <c r="CB46" s="49">
        <v>0</v>
      </c>
      <c r="CC46" s="49">
        <v>0</v>
      </c>
      <c r="CD46" s="49">
        <v>0</v>
      </c>
      <c r="CE46" s="49">
        <v>0</v>
      </c>
      <c r="CF46" s="49">
        <v>0</v>
      </c>
      <c r="CG46" s="49">
        <v>0</v>
      </c>
      <c r="CH46" s="49">
        <v>0</v>
      </c>
      <c r="CI46" s="49">
        <v>0</v>
      </c>
      <c r="CJ46" s="49">
        <v>0</v>
      </c>
      <c r="CK46" s="49">
        <v>0</v>
      </c>
      <c r="CL46"/>
      <c r="CN46" s="29"/>
      <c r="CO46" s="37"/>
    </row>
    <row r="47" spans="1:93" ht="15" x14ac:dyDescent="0.25">
      <c r="A47" s="34"/>
      <c r="B47" s="30"/>
      <c r="C47" s="58" t="s">
        <v>224</v>
      </c>
      <c r="D47" s="59" t="s">
        <v>260</v>
      </c>
      <c r="E47" s="54">
        <v>0</v>
      </c>
      <c r="F47" s="49">
        <v>0</v>
      </c>
      <c r="G47" s="49">
        <v>0</v>
      </c>
      <c r="H47" s="49">
        <v>0</v>
      </c>
      <c r="I47" s="49">
        <v>0</v>
      </c>
      <c r="J47" s="49">
        <v>0</v>
      </c>
      <c r="K47" s="49">
        <v>0</v>
      </c>
      <c r="L47" s="49">
        <v>0</v>
      </c>
      <c r="M47" s="49">
        <v>0</v>
      </c>
      <c r="N47" s="49">
        <v>0</v>
      </c>
      <c r="O47" s="49">
        <v>0</v>
      </c>
      <c r="P47" s="49">
        <v>0</v>
      </c>
      <c r="Q47" s="49">
        <v>0</v>
      </c>
      <c r="R47" s="49">
        <v>0</v>
      </c>
      <c r="S47" s="49">
        <v>0</v>
      </c>
      <c r="T47" s="49">
        <v>0</v>
      </c>
      <c r="U47" s="49">
        <v>0</v>
      </c>
      <c r="V47" s="49">
        <v>0</v>
      </c>
      <c r="W47" s="49">
        <v>0</v>
      </c>
      <c r="X47" s="49">
        <v>0</v>
      </c>
      <c r="Y47" s="49">
        <v>0</v>
      </c>
      <c r="Z47" s="49">
        <v>0</v>
      </c>
      <c r="AA47" s="49">
        <v>0</v>
      </c>
      <c r="AB47" s="49">
        <v>0</v>
      </c>
      <c r="AC47" s="49">
        <v>0</v>
      </c>
      <c r="AD47" s="49">
        <v>0</v>
      </c>
      <c r="AE47" s="49">
        <v>0</v>
      </c>
      <c r="AF47" s="49">
        <v>0</v>
      </c>
      <c r="AG47" s="49">
        <v>0</v>
      </c>
      <c r="AH47" s="49">
        <v>0</v>
      </c>
      <c r="AI47" s="49">
        <v>0</v>
      </c>
      <c r="AJ47" s="49">
        <v>0</v>
      </c>
      <c r="AK47" s="49">
        <v>0</v>
      </c>
      <c r="AL47" s="49">
        <v>0</v>
      </c>
      <c r="AM47" s="49">
        <v>0</v>
      </c>
      <c r="AN47" s="49">
        <v>0</v>
      </c>
      <c r="AO47" s="49">
        <v>0</v>
      </c>
      <c r="AP47" s="49">
        <v>0</v>
      </c>
      <c r="AQ47" s="49">
        <v>0</v>
      </c>
      <c r="AR47" s="49">
        <v>0</v>
      </c>
      <c r="AS47" s="49">
        <v>0</v>
      </c>
      <c r="AT47" s="49">
        <v>0</v>
      </c>
      <c r="AU47" s="49">
        <v>0</v>
      </c>
      <c r="AV47" s="49">
        <v>0</v>
      </c>
      <c r="AW47" s="49">
        <v>0</v>
      </c>
      <c r="AX47" s="49">
        <v>0</v>
      </c>
      <c r="AY47" s="49">
        <v>0</v>
      </c>
      <c r="AZ47" s="49">
        <v>0</v>
      </c>
      <c r="BA47" s="49">
        <v>0</v>
      </c>
      <c r="BB47" s="49">
        <v>0</v>
      </c>
      <c r="BC47" s="49">
        <v>0</v>
      </c>
      <c r="BD47" s="49">
        <v>0</v>
      </c>
      <c r="BE47" s="49">
        <v>0</v>
      </c>
      <c r="BF47" s="49">
        <v>0</v>
      </c>
      <c r="BG47" s="49">
        <v>0</v>
      </c>
      <c r="BH47" s="49">
        <v>0</v>
      </c>
      <c r="BI47" s="49">
        <v>0</v>
      </c>
      <c r="BJ47" s="49">
        <v>0</v>
      </c>
      <c r="BK47" s="49">
        <v>0</v>
      </c>
      <c r="BL47" s="49">
        <v>0</v>
      </c>
      <c r="BM47" s="49">
        <v>0</v>
      </c>
      <c r="BN47" s="49">
        <v>0</v>
      </c>
      <c r="BO47" s="49">
        <v>0</v>
      </c>
      <c r="BP47" s="49">
        <v>0</v>
      </c>
      <c r="BQ47" s="49">
        <v>0</v>
      </c>
      <c r="BR47" s="49">
        <v>0</v>
      </c>
      <c r="BS47" s="49">
        <v>0</v>
      </c>
      <c r="BT47" s="49">
        <v>0</v>
      </c>
      <c r="BU47" s="49">
        <v>0</v>
      </c>
      <c r="BV47" s="49">
        <v>0</v>
      </c>
      <c r="BW47" s="49">
        <v>0</v>
      </c>
      <c r="BX47" s="49">
        <v>0</v>
      </c>
      <c r="BY47" s="49">
        <v>0</v>
      </c>
      <c r="BZ47" s="49">
        <v>0</v>
      </c>
      <c r="CA47" s="49">
        <v>0</v>
      </c>
      <c r="CB47" s="49">
        <v>0</v>
      </c>
      <c r="CC47" s="49">
        <v>0</v>
      </c>
      <c r="CD47" s="49">
        <v>0</v>
      </c>
      <c r="CE47" s="49">
        <v>0</v>
      </c>
      <c r="CF47" s="49">
        <v>0</v>
      </c>
      <c r="CG47" s="49">
        <v>0</v>
      </c>
      <c r="CH47" s="49">
        <v>0</v>
      </c>
      <c r="CI47" s="49">
        <v>0</v>
      </c>
      <c r="CJ47" s="49">
        <v>0</v>
      </c>
      <c r="CK47" s="49">
        <v>0</v>
      </c>
      <c r="CL47"/>
      <c r="CN47" s="29"/>
      <c r="CO47" s="37"/>
    </row>
    <row r="48" spans="1:93" ht="15" x14ac:dyDescent="0.25">
      <c r="A48" s="34"/>
      <c r="B48" s="30"/>
      <c r="C48" s="58" t="s">
        <v>225</v>
      </c>
      <c r="D48" s="59" t="s">
        <v>260</v>
      </c>
      <c r="E48" s="54">
        <v>0</v>
      </c>
      <c r="F48" s="49">
        <v>0</v>
      </c>
      <c r="G48" s="49">
        <v>0</v>
      </c>
      <c r="H48" s="49">
        <v>0</v>
      </c>
      <c r="I48" s="49">
        <v>0</v>
      </c>
      <c r="J48" s="49">
        <v>0</v>
      </c>
      <c r="K48" s="49">
        <v>0</v>
      </c>
      <c r="L48" s="49">
        <v>0</v>
      </c>
      <c r="M48" s="49">
        <v>0</v>
      </c>
      <c r="N48" s="49">
        <v>0</v>
      </c>
      <c r="O48" s="49">
        <v>0</v>
      </c>
      <c r="P48" s="49">
        <v>0</v>
      </c>
      <c r="Q48" s="49">
        <v>0</v>
      </c>
      <c r="R48" s="49">
        <v>0</v>
      </c>
      <c r="S48" s="49">
        <v>0</v>
      </c>
      <c r="T48" s="49">
        <v>0</v>
      </c>
      <c r="U48" s="49">
        <v>0</v>
      </c>
      <c r="V48" s="49">
        <v>0</v>
      </c>
      <c r="W48" s="49">
        <v>0</v>
      </c>
      <c r="X48" s="49">
        <v>0</v>
      </c>
      <c r="Y48" s="49">
        <v>0</v>
      </c>
      <c r="Z48" s="49">
        <v>0</v>
      </c>
      <c r="AA48" s="49">
        <v>0</v>
      </c>
      <c r="AB48" s="49">
        <v>0</v>
      </c>
      <c r="AC48" s="49">
        <v>0</v>
      </c>
      <c r="AD48" s="49">
        <v>0</v>
      </c>
      <c r="AE48" s="49">
        <v>0</v>
      </c>
      <c r="AF48" s="49">
        <v>0</v>
      </c>
      <c r="AG48" s="49">
        <v>0</v>
      </c>
      <c r="AH48" s="49">
        <v>0</v>
      </c>
      <c r="AI48" s="49">
        <v>0</v>
      </c>
      <c r="AJ48" s="49">
        <v>0</v>
      </c>
      <c r="AK48" s="49">
        <v>0</v>
      </c>
      <c r="AL48" s="49">
        <v>0</v>
      </c>
      <c r="AM48" s="49">
        <v>0</v>
      </c>
      <c r="AN48" s="49">
        <v>0</v>
      </c>
      <c r="AO48" s="49">
        <v>0</v>
      </c>
      <c r="AP48" s="49">
        <v>0</v>
      </c>
      <c r="AQ48" s="49">
        <v>0</v>
      </c>
      <c r="AR48" s="49">
        <v>0</v>
      </c>
      <c r="AS48" s="49">
        <v>0</v>
      </c>
      <c r="AT48" s="49">
        <v>0</v>
      </c>
      <c r="AU48" s="49">
        <v>0</v>
      </c>
      <c r="AV48" s="49">
        <v>0</v>
      </c>
      <c r="AW48" s="49">
        <v>0</v>
      </c>
      <c r="AX48" s="49">
        <v>0</v>
      </c>
      <c r="AY48" s="49">
        <v>0</v>
      </c>
      <c r="AZ48" s="49">
        <v>0</v>
      </c>
      <c r="BA48" s="49">
        <v>0</v>
      </c>
      <c r="BB48" s="49">
        <v>0</v>
      </c>
      <c r="BC48" s="49">
        <v>0</v>
      </c>
      <c r="BD48" s="49">
        <v>0</v>
      </c>
      <c r="BE48" s="49">
        <v>0</v>
      </c>
      <c r="BF48" s="49">
        <v>0</v>
      </c>
      <c r="BG48" s="49">
        <v>0</v>
      </c>
      <c r="BH48" s="49">
        <v>0</v>
      </c>
      <c r="BI48" s="49">
        <v>0</v>
      </c>
      <c r="BJ48" s="49">
        <v>0</v>
      </c>
      <c r="BK48" s="49">
        <v>0</v>
      </c>
      <c r="BL48" s="49">
        <v>0</v>
      </c>
      <c r="BM48" s="49">
        <v>0</v>
      </c>
      <c r="BN48" s="49">
        <v>0</v>
      </c>
      <c r="BO48" s="49">
        <v>0</v>
      </c>
      <c r="BP48" s="49">
        <v>0</v>
      </c>
      <c r="BQ48" s="49">
        <v>0</v>
      </c>
      <c r="BR48" s="49">
        <v>0</v>
      </c>
      <c r="BS48" s="49">
        <v>0</v>
      </c>
      <c r="BT48" s="49">
        <v>0</v>
      </c>
      <c r="BU48" s="49">
        <v>0</v>
      </c>
      <c r="BV48" s="49">
        <v>0</v>
      </c>
      <c r="BW48" s="49">
        <v>0</v>
      </c>
      <c r="BX48" s="49">
        <v>0</v>
      </c>
      <c r="BY48" s="49">
        <v>0</v>
      </c>
      <c r="BZ48" s="49">
        <v>0</v>
      </c>
      <c r="CA48" s="49">
        <v>0</v>
      </c>
      <c r="CB48" s="49">
        <v>0</v>
      </c>
      <c r="CC48" s="49">
        <v>0</v>
      </c>
      <c r="CD48" s="49">
        <v>0</v>
      </c>
      <c r="CE48" s="49">
        <v>0</v>
      </c>
      <c r="CF48" s="49">
        <v>0</v>
      </c>
      <c r="CG48" s="49">
        <v>0</v>
      </c>
      <c r="CH48" s="49">
        <v>0</v>
      </c>
      <c r="CI48" s="49">
        <v>0</v>
      </c>
      <c r="CJ48" s="49">
        <v>0</v>
      </c>
      <c r="CK48" s="49">
        <v>0</v>
      </c>
      <c r="CL48"/>
      <c r="CN48" s="29"/>
      <c r="CO48" s="37"/>
    </row>
    <row r="49" spans="1:93" ht="15" x14ac:dyDescent="0.25">
      <c r="A49" s="34"/>
      <c r="B49" s="30"/>
      <c r="C49" s="58" t="s">
        <v>226</v>
      </c>
      <c r="D49" s="59" t="s">
        <v>260</v>
      </c>
      <c r="E49" s="54">
        <v>0</v>
      </c>
      <c r="F49" s="49">
        <v>0</v>
      </c>
      <c r="G49" s="49">
        <v>0</v>
      </c>
      <c r="H49" s="49">
        <v>0</v>
      </c>
      <c r="I49" s="49">
        <v>0</v>
      </c>
      <c r="J49" s="49">
        <v>0</v>
      </c>
      <c r="K49" s="49">
        <v>0</v>
      </c>
      <c r="L49" s="49">
        <v>0</v>
      </c>
      <c r="M49" s="49">
        <v>0</v>
      </c>
      <c r="N49" s="49">
        <v>0</v>
      </c>
      <c r="O49" s="49">
        <v>0</v>
      </c>
      <c r="P49" s="49">
        <v>0</v>
      </c>
      <c r="Q49" s="49">
        <v>0</v>
      </c>
      <c r="R49" s="49">
        <v>0</v>
      </c>
      <c r="S49" s="49">
        <v>0</v>
      </c>
      <c r="T49" s="49">
        <v>0</v>
      </c>
      <c r="U49" s="49">
        <v>0</v>
      </c>
      <c r="V49" s="49">
        <v>0</v>
      </c>
      <c r="W49" s="49">
        <v>0</v>
      </c>
      <c r="X49" s="49">
        <v>0</v>
      </c>
      <c r="Y49" s="49">
        <v>0</v>
      </c>
      <c r="Z49" s="49">
        <v>0</v>
      </c>
      <c r="AA49" s="49">
        <v>0</v>
      </c>
      <c r="AB49" s="49">
        <v>0</v>
      </c>
      <c r="AC49" s="49">
        <v>0</v>
      </c>
      <c r="AD49" s="49">
        <v>0</v>
      </c>
      <c r="AE49" s="49">
        <v>0</v>
      </c>
      <c r="AF49" s="49">
        <v>0</v>
      </c>
      <c r="AG49" s="49">
        <v>0</v>
      </c>
      <c r="AH49" s="49">
        <v>0</v>
      </c>
      <c r="AI49" s="49">
        <v>0</v>
      </c>
      <c r="AJ49" s="49">
        <v>0</v>
      </c>
      <c r="AK49" s="49">
        <v>0</v>
      </c>
      <c r="AL49" s="49">
        <v>0</v>
      </c>
      <c r="AM49" s="49">
        <v>0</v>
      </c>
      <c r="AN49" s="49">
        <v>0</v>
      </c>
      <c r="AO49" s="49">
        <v>0</v>
      </c>
      <c r="AP49" s="49">
        <v>0</v>
      </c>
      <c r="AQ49" s="49">
        <v>0</v>
      </c>
      <c r="AR49" s="49">
        <v>0</v>
      </c>
      <c r="AS49" s="49">
        <v>0</v>
      </c>
      <c r="AT49" s="49">
        <v>0</v>
      </c>
      <c r="AU49" s="49">
        <v>0</v>
      </c>
      <c r="AV49" s="49">
        <v>0</v>
      </c>
      <c r="AW49" s="49">
        <v>0</v>
      </c>
      <c r="AX49" s="49">
        <v>0</v>
      </c>
      <c r="AY49" s="49">
        <v>0</v>
      </c>
      <c r="AZ49" s="49">
        <v>0</v>
      </c>
      <c r="BA49" s="49">
        <v>0</v>
      </c>
      <c r="BB49" s="49">
        <v>0</v>
      </c>
      <c r="BC49" s="49">
        <v>0</v>
      </c>
      <c r="BD49" s="49">
        <v>0</v>
      </c>
      <c r="BE49" s="49">
        <v>0</v>
      </c>
      <c r="BF49" s="49">
        <v>0</v>
      </c>
      <c r="BG49" s="49">
        <v>0</v>
      </c>
      <c r="BH49" s="49">
        <v>0</v>
      </c>
      <c r="BI49" s="49">
        <v>0</v>
      </c>
      <c r="BJ49" s="49">
        <v>0</v>
      </c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9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/>
      <c r="CN49" s="29"/>
      <c r="CO49" s="37"/>
    </row>
    <row r="50" spans="1:93" ht="15" x14ac:dyDescent="0.25">
      <c r="A50" s="34"/>
      <c r="B50" s="30"/>
      <c r="C50" s="58" t="s">
        <v>227</v>
      </c>
      <c r="D50" s="59" t="s">
        <v>260</v>
      </c>
      <c r="E50" s="54">
        <v>0</v>
      </c>
      <c r="F50" s="49">
        <v>0</v>
      </c>
      <c r="G50" s="49">
        <v>0</v>
      </c>
      <c r="H50" s="49">
        <v>0</v>
      </c>
      <c r="I50" s="49">
        <v>0</v>
      </c>
      <c r="J50" s="49">
        <v>0</v>
      </c>
      <c r="K50" s="49">
        <v>0</v>
      </c>
      <c r="L50" s="49">
        <v>0</v>
      </c>
      <c r="M50" s="49">
        <v>0</v>
      </c>
      <c r="N50" s="49">
        <v>0</v>
      </c>
      <c r="O50" s="49">
        <v>0</v>
      </c>
      <c r="P50" s="49">
        <v>0</v>
      </c>
      <c r="Q50" s="49">
        <v>0</v>
      </c>
      <c r="R50" s="49">
        <v>0</v>
      </c>
      <c r="S50" s="49">
        <v>0</v>
      </c>
      <c r="T50" s="49">
        <v>0</v>
      </c>
      <c r="U50" s="49">
        <v>0</v>
      </c>
      <c r="V50" s="49">
        <v>0</v>
      </c>
      <c r="W50" s="49">
        <v>0</v>
      </c>
      <c r="X50" s="49">
        <v>0</v>
      </c>
      <c r="Y50" s="49">
        <v>0</v>
      </c>
      <c r="Z50" s="49">
        <v>0</v>
      </c>
      <c r="AA50" s="49">
        <v>0</v>
      </c>
      <c r="AB50" s="49">
        <v>0</v>
      </c>
      <c r="AC50" s="49">
        <v>0</v>
      </c>
      <c r="AD50" s="49">
        <v>0</v>
      </c>
      <c r="AE50" s="49">
        <v>0</v>
      </c>
      <c r="AF50" s="49">
        <v>0</v>
      </c>
      <c r="AG50" s="49">
        <v>0</v>
      </c>
      <c r="AH50" s="49">
        <v>0</v>
      </c>
      <c r="AI50" s="49">
        <v>0</v>
      </c>
      <c r="AJ50" s="49">
        <v>0</v>
      </c>
      <c r="AK50" s="49">
        <v>0</v>
      </c>
      <c r="AL50" s="49">
        <v>0</v>
      </c>
      <c r="AM50" s="49">
        <v>0</v>
      </c>
      <c r="AN50" s="49">
        <v>0</v>
      </c>
      <c r="AO50" s="49">
        <v>0</v>
      </c>
      <c r="AP50" s="49">
        <v>0</v>
      </c>
      <c r="AQ50" s="49">
        <v>0</v>
      </c>
      <c r="AR50" s="49">
        <v>0</v>
      </c>
      <c r="AS50" s="49">
        <v>0</v>
      </c>
      <c r="AT50" s="49">
        <v>0</v>
      </c>
      <c r="AU50" s="49">
        <v>0</v>
      </c>
      <c r="AV50" s="49">
        <v>0</v>
      </c>
      <c r="AW50" s="49">
        <v>0</v>
      </c>
      <c r="AX50" s="49">
        <v>0</v>
      </c>
      <c r="AY50" s="49">
        <v>0</v>
      </c>
      <c r="AZ50" s="49">
        <v>0</v>
      </c>
      <c r="BA50" s="49">
        <v>0</v>
      </c>
      <c r="BB50" s="49">
        <v>0</v>
      </c>
      <c r="BC50" s="49">
        <v>0</v>
      </c>
      <c r="BD50" s="49">
        <v>0</v>
      </c>
      <c r="BE50" s="49">
        <v>0</v>
      </c>
      <c r="BF50" s="49">
        <v>0</v>
      </c>
      <c r="BG50" s="49">
        <v>0</v>
      </c>
      <c r="BH50" s="49">
        <v>0</v>
      </c>
      <c r="BI50" s="49">
        <v>0</v>
      </c>
      <c r="BJ50" s="49">
        <v>0</v>
      </c>
      <c r="BK50" s="49">
        <v>0</v>
      </c>
      <c r="BL50" s="49">
        <v>0</v>
      </c>
      <c r="BM50" s="49">
        <v>0</v>
      </c>
      <c r="BN50" s="49">
        <v>0</v>
      </c>
      <c r="BO50" s="49">
        <v>0</v>
      </c>
      <c r="BP50" s="49">
        <v>0</v>
      </c>
      <c r="BQ50" s="49">
        <v>0</v>
      </c>
      <c r="BR50" s="49">
        <v>0</v>
      </c>
      <c r="BS50" s="49">
        <v>0</v>
      </c>
      <c r="BT50" s="49">
        <v>0</v>
      </c>
      <c r="BU50" s="49">
        <v>0</v>
      </c>
      <c r="BV50" s="49">
        <v>0</v>
      </c>
      <c r="BW50" s="49">
        <v>0</v>
      </c>
      <c r="BX50" s="49">
        <v>0</v>
      </c>
      <c r="BY50" s="49">
        <v>0</v>
      </c>
      <c r="BZ50" s="49">
        <v>0</v>
      </c>
      <c r="CA50" s="49">
        <v>0</v>
      </c>
      <c r="CB50" s="49">
        <v>0</v>
      </c>
      <c r="CC50" s="49">
        <v>0</v>
      </c>
      <c r="CD50" s="49">
        <v>0</v>
      </c>
      <c r="CE50" s="49">
        <v>0</v>
      </c>
      <c r="CF50" s="49">
        <v>0</v>
      </c>
      <c r="CG50" s="49">
        <v>0</v>
      </c>
      <c r="CH50" s="49">
        <v>0</v>
      </c>
      <c r="CI50" s="49">
        <v>0</v>
      </c>
      <c r="CJ50" s="49">
        <v>0</v>
      </c>
      <c r="CK50" s="49">
        <v>0</v>
      </c>
      <c r="CL50"/>
      <c r="CN50" s="29"/>
      <c r="CO50" s="37"/>
    </row>
    <row r="51" spans="1:93" ht="15" x14ac:dyDescent="0.25">
      <c r="A51" s="34"/>
      <c r="B51" s="30"/>
      <c r="C51" s="58" t="s">
        <v>228</v>
      </c>
      <c r="D51" s="59" t="s">
        <v>260</v>
      </c>
      <c r="E51" s="54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0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0</v>
      </c>
      <c r="AW51" s="49">
        <v>0</v>
      </c>
      <c r="AX51" s="49">
        <v>0</v>
      </c>
      <c r="AY51" s="49">
        <v>0</v>
      </c>
      <c r="AZ51" s="49">
        <v>0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49">
        <v>0</v>
      </c>
      <c r="BW51" s="49">
        <v>0</v>
      </c>
      <c r="BX51" s="49">
        <v>0</v>
      </c>
      <c r="BY51" s="49">
        <v>0</v>
      </c>
      <c r="BZ51" s="49">
        <v>0</v>
      </c>
      <c r="CA51" s="49">
        <v>0</v>
      </c>
      <c r="CB51" s="49">
        <v>0</v>
      </c>
      <c r="CC51" s="49">
        <v>0</v>
      </c>
      <c r="CD51" s="49">
        <v>0</v>
      </c>
      <c r="CE51" s="49">
        <v>0</v>
      </c>
      <c r="CF51" s="49">
        <v>0</v>
      </c>
      <c r="CG51" s="49">
        <v>0</v>
      </c>
      <c r="CH51" s="49">
        <v>0</v>
      </c>
      <c r="CI51" s="49">
        <v>0</v>
      </c>
      <c r="CJ51" s="49">
        <v>0</v>
      </c>
      <c r="CK51" s="49">
        <v>0</v>
      </c>
      <c r="CL51"/>
      <c r="CN51" s="29"/>
      <c r="CO51" s="37"/>
    </row>
    <row r="52" spans="1:93" ht="15" x14ac:dyDescent="0.25">
      <c r="A52" s="34"/>
      <c r="B52" s="30"/>
      <c r="C52" s="58" t="s">
        <v>229</v>
      </c>
      <c r="D52" s="59" t="s">
        <v>260</v>
      </c>
      <c r="E52" s="54">
        <v>0</v>
      </c>
      <c r="F52" s="49">
        <v>0</v>
      </c>
      <c r="G52" s="49">
        <v>0</v>
      </c>
      <c r="H52" s="49">
        <v>0</v>
      </c>
      <c r="I52" s="49">
        <v>0</v>
      </c>
      <c r="J52" s="49">
        <v>0</v>
      </c>
      <c r="K52" s="49">
        <v>0</v>
      </c>
      <c r="L52" s="49">
        <v>0</v>
      </c>
      <c r="M52" s="49">
        <v>0</v>
      </c>
      <c r="N52" s="49">
        <v>0</v>
      </c>
      <c r="O52" s="49">
        <v>0</v>
      </c>
      <c r="P52" s="49">
        <v>0</v>
      </c>
      <c r="Q52" s="49">
        <v>0</v>
      </c>
      <c r="R52" s="49">
        <v>0</v>
      </c>
      <c r="S52" s="49">
        <v>0</v>
      </c>
      <c r="T52" s="49">
        <v>0</v>
      </c>
      <c r="U52" s="49">
        <v>0</v>
      </c>
      <c r="V52" s="49">
        <v>0</v>
      </c>
      <c r="W52" s="49">
        <v>0</v>
      </c>
      <c r="X52" s="49">
        <v>0</v>
      </c>
      <c r="Y52" s="49">
        <v>0</v>
      </c>
      <c r="Z52" s="49">
        <v>0</v>
      </c>
      <c r="AA52" s="49">
        <v>0</v>
      </c>
      <c r="AB52" s="49">
        <v>0</v>
      </c>
      <c r="AC52" s="49">
        <v>0</v>
      </c>
      <c r="AD52" s="49">
        <v>0</v>
      </c>
      <c r="AE52" s="49">
        <v>0</v>
      </c>
      <c r="AF52" s="49">
        <v>0</v>
      </c>
      <c r="AG52" s="49">
        <v>0</v>
      </c>
      <c r="AH52" s="49">
        <v>0</v>
      </c>
      <c r="AI52" s="49">
        <v>0</v>
      </c>
      <c r="AJ52" s="49">
        <v>0</v>
      </c>
      <c r="AK52" s="49">
        <v>0</v>
      </c>
      <c r="AL52" s="49">
        <v>0</v>
      </c>
      <c r="AM52" s="49">
        <v>0</v>
      </c>
      <c r="AN52" s="49">
        <v>0</v>
      </c>
      <c r="AO52" s="49">
        <v>0</v>
      </c>
      <c r="AP52" s="49">
        <v>0</v>
      </c>
      <c r="AQ52" s="49">
        <v>0</v>
      </c>
      <c r="AR52" s="49">
        <v>0</v>
      </c>
      <c r="AS52" s="49">
        <v>0</v>
      </c>
      <c r="AT52" s="49">
        <v>0</v>
      </c>
      <c r="AU52" s="49">
        <v>0</v>
      </c>
      <c r="AV52" s="49">
        <v>0</v>
      </c>
      <c r="AW52" s="49">
        <v>0</v>
      </c>
      <c r="AX52" s="49">
        <v>0</v>
      </c>
      <c r="AY52" s="49">
        <v>0</v>
      </c>
      <c r="AZ52" s="49">
        <v>0</v>
      </c>
      <c r="BA52" s="49">
        <v>0</v>
      </c>
      <c r="BB52" s="49">
        <v>0</v>
      </c>
      <c r="BC52" s="49">
        <v>0</v>
      </c>
      <c r="BD52" s="49">
        <v>0</v>
      </c>
      <c r="BE52" s="49">
        <v>0</v>
      </c>
      <c r="BF52" s="49">
        <v>0</v>
      </c>
      <c r="BG52" s="49">
        <v>0</v>
      </c>
      <c r="BH52" s="49">
        <v>0</v>
      </c>
      <c r="BI52" s="49">
        <v>0</v>
      </c>
      <c r="BJ52" s="49">
        <v>0</v>
      </c>
      <c r="BK52" s="49">
        <v>0</v>
      </c>
      <c r="BL52" s="49">
        <v>0</v>
      </c>
      <c r="BM52" s="49">
        <v>0</v>
      </c>
      <c r="BN52" s="49">
        <v>0</v>
      </c>
      <c r="BO52" s="49">
        <v>0</v>
      </c>
      <c r="BP52" s="49">
        <v>0</v>
      </c>
      <c r="BQ52" s="49">
        <v>0</v>
      </c>
      <c r="BR52" s="49">
        <v>0</v>
      </c>
      <c r="BS52" s="49">
        <v>0</v>
      </c>
      <c r="BT52" s="49">
        <v>0</v>
      </c>
      <c r="BU52" s="49">
        <v>0</v>
      </c>
      <c r="BV52" s="49">
        <v>0</v>
      </c>
      <c r="BW52" s="49">
        <v>0</v>
      </c>
      <c r="BX52" s="49">
        <v>0</v>
      </c>
      <c r="BY52" s="49">
        <v>0</v>
      </c>
      <c r="BZ52" s="49">
        <v>0</v>
      </c>
      <c r="CA52" s="49">
        <v>0</v>
      </c>
      <c r="CB52" s="49">
        <v>0</v>
      </c>
      <c r="CC52" s="49">
        <v>0</v>
      </c>
      <c r="CD52" s="49">
        <v>0</v>
      </c>
      <c r="CE52" s="49">
        <v>0</v>
      </c>
      <c r="CF52" s="49">
        <v>0</v>
      </c>
      <c r="CG52" s="49">
        <v>0</v>
      </c>
      <c r="CH52" s="49">
        <v>0</v>
      </c>
      <c r="CI52" s="49">
        <v>0</v>
      </c>
      <c r="CJ52" s="49">
        <v>0</v>
      </c>
      <c r="CK52" s="49">
        <v>0</v>
      </c>
      <c r="CL52"/>
      <c r="CN52" s="29"/>
      <c r="CO52" s="37"/>
    </row>
    <row r="53" spans="1:93" ht="15" x14ac:dyDescent="0.25">
      <c r="A53" s="34"/>
      <c r="B53" s="30"/>
      <c r="C53" s="58" t="s">
        <v>230</v>
      </c>
      <c r="D53" s="59" t="s">
        <v>260</v>
      </c>
      <c r="E53" s="54">
        <v>0</v>
      </c>
      <c r="F53" s="49">
        <v>0</v>
      </c>
      <c r="G53" s="49">
        <v>0</v>
      </c>
      <c r="H53" s="49">
        <v>0</v>
      </c>
      <c r="I53" s="49">
        <v>0</v>
      </c>
      <c r="J53" s="49">
        <v>0</v>
      </c>
      <c r="K53" s="49">
        <v>0</v>
      </c>
      <c r="L53" s="49">
        <v>0</v>
      </c>
      <c r="M53" s="49">
        <v>0</v>
      </c>
      <c r="N53" s="49">
        <v>0</v>
      </c>
      <c r="O53" s="49">
        <v>0</v>
      </c>
      <c r="P53" s="49">
        <v>0</v>
      </c>
      <c r="Q53" s="49">
        <v>0</v>
      </c>
      <c r="R53" s="49">
        <v>0</v>
      </c>
      <c r="S53" s="49">
        <v>0</v>
      </c>
      <c r="T53" s="49">
        <v>0</v>
      </c>
      <c r="U53" s="49">
        <v>0</v>
      </c>
      <c r="V53" s="49">
        <v>0</v>
      </c>
      <c r="W53" s="49">
        <v>0</v>
      </c>
      <c r="X53" s="49">
        <v>0</v>
      </c>
      <c r="Y53" s="49">
        <v>0</v>
      </c>
      <c r="Z53" s="49">
        <v>0</v>
      </c>
      <c r="AA53" s="49">
        <v>0</v>
      </c>
      <c r="AB53" s="49">
        <v>0</v>
      </c>
      <c r="AC53" s="49">
        <v>0</v>
      </c>
      <c r="AD53" s="49">
        <v>0</v>
      </c>
      <c r="AE53" s="49">
        <v>0</v>
      </c>
      <c r="AF53" s="49">
        <v>0</v>
      </c>
      <c r="AG53" s="49">
        <v>0</v>
      </c>
      <c r="AH53" s="49">
        <v>0</v>
      </c>
      <c r="AI53" s="49">
        <v>0</v>
      </c>
      <c r="AJ53" s="49">
        <v>0</v>
      </c>
      <c r="AK53" s="49">
        <v>0</v>
      </c>
      <c r="AL53" s="49">
        <v>0</v>
      </c>
      <c r="AM53" s="49">
        <v>0</v>
      </c>
      <c r="AN53" s="49">
        <v>0</v>
      </c>
      <c r="AO53" s="49">
        <v>0</v>
      </c>
      <c r="AP53" s="49">
        <v>0</v>
      </c>
      <c r="AQ53" s="49">
        <v>0</v>
      </c>
      <c r="AR53" s="49">
        <v>0</v>
      </c>
      <c r="AS53" s="49">
        <v>0</v>
      </c>
      <c r="AT53" s="49">
        <v>0</v>
      </c>
      <c r="AU53" s="49">
        <v>0</v>
      </c>
      <c r="AV53" s="49">
        <v>0</v>
      </c>
      <c r="AW53" s="49">
        <v>0</v>
      </c>
      <c r="AX53" s="49">
        <v>0</v>
      </c>
      <c r="AY53" s="49">
        <v>0</v>
      </c>
      <c r="AZ53" s="49">
        <v>0</v>
      </c>
      <c r="BA53" s="49">
        <v>0</v>
      </c>
      <c r="BB53" s="49">
        <v>0</v>
      </c>
      <c r="BC53" s="49">
        <v>0</v>
      </c>
      <c r="BD53" s="49">
        <v>0</v>
      </c>
      <c r="BE53" s="49">
        <v>0</v>
      </c>
      <c r="BF53" s="49">
        <v>0</v>
      </c>
      <c r="BG53" s="49">
        <v>0</v>
      </c>
      <c r="BH53" s="49">
        <v>0</v>
      </c>
      <c r="BI53" s="49">
        <v>0</v>
      </c>
      <c r="BJ53" s="49">
        <v>0</v>
      </c>
      <c r="BK53" s="49">
        <v>0</v>
      </c>
      <c r="BL53" s="49">
        <v>0</v>
      </c>
      <c r="BM53" s="49">
        <v>0</v>
      </c>
      <c r="BN53" s="49">
        <v>0</v>
      </c>
      <c r="BO53" s="49">
        <v>0</v>
      </c>
      <c r="BP53" s="49">
        <v>0</v>
      </c>
      <c r="BQ53" s="49">
        <v>0</v>
      </c>
      <c r="BR53" s="49">
        <v>0</v>
      </c>
      <c r="BS53" s="49">
        <v>0</v>
      </c>
      <c r="BT53" s="49">
        <v>0</v>
      </c>
      <c r="BU53" s="49">
        <v>0</v>
      </c>
      <c r="BV53" s="49">
        <v>0</v>
      </c>
      <c r="BW53" s="49">
        <v>0</v>
      </c>
      <c r="BX53" s="49">
        <v>0</v>
      </c>
      <c r="BY53" s="49">
        <v>0</v>
      </c>
      <c r="BZ53" s="49">
        <v>0</v>
      </c>
      <c r="CA53" s="49">
        <v>0</v>
      </c>
      <c r="CB53" s="49">
        <v>0</v>
      </c>
      <c r="CC53" s="49">
        <v>0</v>
      </c>
      <c r="CD53" s="49">
        <v>0</v>
      </c>
      <c r="CE53" s="49">
        <v>0</v>
      </c>
      <c r="CF53" s="49">
        <v>0</v>
      </c>
      <c r="CG53" s="49">
        <v>0</v>
      </c>
      <c r="CH53" s="49">
        <v>0</v>
      </c>
      <c r="CI53" s="49">
        <v>0</v>
      </c>
      <c r="CJ53" s="49">
        <v>0</v>
      </c>
      <c r="CK53" s="49">
        <v>0</v>
      </c>
      <c r="CL53"/>
      <c r="CN53" s="29"/>
      <c r="CO53" s="37"/>
    </row>
    <row r="54" spans="1:93" ht="15" x14ac:dyDescent="0.25">
      <c r="A54" s="34"/>
      <c r="B54" s="30"/>
      <c r="C54" s="58" t="s">
        <v>231</v>
      </c>
      <c r="D54" s="59" t="s">
        <v>260</v>
      </c>
      <c r="E54" s="54">
        <v>0</v>
      </c>
      <c r="F54" s="49">
        <v>0</v>
      </c>
      <c r="G54" s="49">
        <v>0</v>
      </c>
      <c r="H54" s="49">
        <v>0</v>
      </c>
      <c r="I54" s="49">
        <v>0</v>
      </c>
      <c r="J54" s="49">
        <v>0</v>
      </c>
      <c r="K54" s="49">
        <v>0</v>
      </c>
      <c r="L54" s="49">
        <v>0</v>
      </c>
      <c r="M54" s="49">
        <v>0</v>
      </c>
      <c r="N54" s="49">
        <v>0</v>
      </c>
      <c r="O54" s="49">
        <v>0</v>
      </c>
      <c r="P54" s="49">
        <v>0</v>
      </c>
      <c r="Q54" s="49">
        <v>0</v>
      </c>
      <c r="R54" s="49">
        <v>0</v>
      </c>
      <c r="S54" s="49">
        <v>0</v>
      </c>
      <c r="T54" s="49">
        <v>0</v>
      </c>
      <c r="U54" s="49">
        <v>0</v>
      </c>
      <c r="V54" s="49">
        <v>0</v>
      </c>
      <c r="W54" s="49">
        <v>0</v>
      </c>
      <c r="X54" s="49">
        <v>0</v>
      </c>
      <c r="Y54" s="49">
        <v>0</v>
      </c>
      <c r="Z54" s="49">
        <v>0</v>
      </c>
      <c r="AA54" s="49">
        <v>0</v>
      </c>
      <c r="AB54" s="49">
        <v>0</v>
      </c>
      <c r="AC54" s="49">
        <v>0</v>
      </c>
      <c r="AD54" s="49">
        <v>0</v>
      </c>
      <c r="AE54" s="49">
        <v>0</v>
      </c>
      <c r="AF54" s="49">
        <v>0</v>
      </c>
      <c r="AG54" s="49">
        <v>0</v>
      </c>
      <c r="AH54" s="49">
        <v>0</v>
      </c>
      <c r="AI54" s="49">
        <v>0</v>
      </c>
      <c r="AJ54" s="49">
        <v>0</v>
      </c>
      <c r="AK54" s="49">
        <v>0</v>
      </c>
      <c r="AL54" s="49">
        <v>0</v>
      </c>
      <c r="AM54" s="49">
        <v>0</v>
      </c>
      <c r="AN54" s="49">
        <v>0</v>
      </c>
      <c r="AO54" s="49">
        <v>0</v>
      </c>
      <c r="AP54" s="49">
        <v>0</v>
      </c>
      <c r="AQ54" s="49">
        <v>0</v>
      </c>
      <c r="AR54" s="49">
        <v>0</v>
      </c>
      <c r="AS54" s="49">
        <v>0</v>
      </c>
      <c r="AT54" s="49">
        <v>0</v>
      </c>
      <c r="AU54" s="49">
        <v>0</v>
      </c>
      <c r="AV54" s="49">
        <v>0</v>
      </c>
      <c r="AW54" s="49">
        <v>0</v>
      </c>
      <c r="AX54" s="49">
        <v>0</v>
      </c>
      <c r="AY54" s="49">
        <v>0</v>
      </c>
      <c r="AZ54" s="49">
        <v>0</v>
      </c>
      <c r="BA54" s="49">
        <v>0</v>
      </c>
      <c r="BB54" s="49">
        <v>0</v>
      </c>
      <c r="BC54" s="49">
        <v>0</v>
      </c>
      <c r="BD54" s="49">
        <v>0</v>
      </c>
      <c r="BE54" s="49">
        <v>0</v>
      </c>
      <c r="BF54" s="49">
        <v>0</v>
      </c>
      <c r="BG54" s="49">
        <v>0</v>
      </c>
      <c r="BH54" s="49">
        <v>0</v>
      </c>
      <c r="BI54" s="49">
        <v>0</v>
      </c>
      <c r="BJ54" s="49">
        <v>0</v>
      </c>
      <c r="BK54" s="49">
        <v>0</v>
      </c>
      <c r="BL54" s="49">
        <v>0</v>
      </c>
      <c r="BM54" s="49">
        <v>0</v>
      </c>
      <c r="BN54" s="49">
        <v>0</v>
      </c>
      <c r="BO54" s="49">
        <v>0</v>
      </c>
      <c r="BP54" s="49">
        <v>0</v>
      </c>
      <c r="BQ54" s="49">
        <v>0</v>
      </c>
      <c r="BR54" s="49">
        <v>0</v>
      </c>
      <c r="BS54" s="49">
        <v>0</v>
      </c>
      <c r="BT54" s="49">
        <v>0</v>
      </c>
      <c r="BU54" s="49">
        <v>0</v>
      </c>
      <c r="BV54" s="49">
        <v>0</v>
      </c>
      <c r="BW54" s="49">
        <v>0</v>
      </c>
      <c r="BX54" s="49">
        <v>0</v>
      </c>
      <c r="BY54" s="49">
        <v>0</v>
      </c>
      <c r="BZ54" s="49">
        <v>0</v>
      </c>
      <c r="CA54" s="49">
        <v>0</v>
      </c>
      <c r="CB54" s="49">
        <v>0</v>
      </c>
      <c r="CC54" s="49">
        <v>0</v>
      </c>
      <c r="CD54" s="49">
        <v>0</v>
      </c>
      <c r="CE54" s="49">
        <v>0</v>
      </c>
      <c r="CF54" s="49">
        <v>0</v>
      </c>
      <c r="CG54" s="49">
        <v>0</v>
      </c>
      <c r="CH54" s="49">
        <v>0</v>
      </c>
      <c r="CI54" s="49">
        <v>0</v>
      </c>
      <c r="CJ54" s="49">
        <v>0</v>
      </c>
      <c r="CK54" s="49">
        <v>0</v>
      </c>
      <c r="CL54"/>
      <c r="CN54" s="29"/>
      <c r="CO54" s="37"/>
    </row>
    <row r="55" spans="1:93" ht="15" x14ac:dyDescent="0.25">
      <c r="A55" s="34"/>
      <c r="B55" s="30"/>
      <c r="C55" s="58" t="s">
        <v>232</v>
      </c>
      <c r="D55" s="59" t="s">
        <v>260</v>
      </c>
      <c r="E55" s="54">
        <v>0</v>
      </c>
      <c r="F55" s="49">
        <v>0</v>
      </c>
      <c r="G55" s="49">
        <v>0</v>
      </c>
      <c r="H55" s="49">
        <v>0</v>
      </c>
      <c r="I55" s="49">
        <v>0</v>
      </c>
      <c r="J55" s="49">
        <v>0</v>
      </c>
      <c r="K55" s="49">
        <v>0</v>
      </c>
      <c r="L55" s="49">
        <v>0</v>
      </c>
      <c r="M55" s="49">
        <v>0</v>
      </c>
      <c r="N55" s="49">
        <v>0</v>
      </c>
      <c r="O55" s="49">
        <v>0</v>
      </c>
      <c r="P55" s="49">
        <v>0</v>
      </c>
      <c r="Q55" s="49">
        <v>0</v>
      </c>
      <c r="R55" s="49">
        <v>0</v>
      </c>
      <c r="S55" s="49">
        <v>0</v>
      </c>
      <c r="T55" s="49">
        <v>0</v>
      </c>
      <c r="U55" s="49">
        <v>0</v>
      </c>
      <c r="V55" s="49">
        <v>0</v>
      </c>
      <c r="W55" s="49">
        <v>0</v>
      </c>
      <c r="X55" s="49">
        <v>0</v>
      </c>
      <c r="Y55" s="49">
        <v>0</v>
      </c>
      <c r="Z55" s="49">
        <v>0</v>
      </c>
      <c r="AA55" s="49">
        <v>0</v>
      </c>
      <c r="AB55" s="49">
        <v>0</v>
      </c>
      <c r="AC55" s="49">
        <v>0</v>
      </c>
      <c r="AD55" s="49">
        <v>0</v>
      </c>
      <c r="AE55" s="49">
        <v>0</v>
      </c>
      <c r="AF55" s="49">
        <v>0</v>
      </c>
      <c r="AG55" s="49">
        <v>0</v>
      </c>
      <c r="AH55" s="49">
        <v>0</v>
      </c>
      <c r="AI55" s="49">
        <v>0</v>
      </c>
      <c r="AJ55" s="49">
        <v>0</v>
      </c>
      <c r="AK55" s="49">
        <v>0</v>
      </c>
      <c r="AL55" s="49">
        <v>0</v>
      </c>
      <c r="AM55" s="49">
        <v>0</v>
      </c>
      <c r="AN55" s="49">
        <v>0</v>
      </c>
      <c r="AO55" s="49">
        <v>0</v>
      </c>
      <c r="AP55" s="49">
        <v>0</v>
      </c>
      <c r="AQ55" s="49">
        <v>0</v>
      </c>
      <c r="AR55" s="49">
        <v>0</v>
      </c>
      <c r="AS55" s="49">
        <v>0</v>
      </c>
      <c r="AT55" s="49">
        <v>0</v>
      </c>
      <c r="AU55" s="49">
        <v>0</v>
      </c>
      <c r="AV55" s="49">
        <v>0</v>
      </c>
      <c r="AW55" s="49">
        <v>0</v>
      </c>
      <c r="AX55" s="49">
        <v>0</v>
      </c>
      <c r="AY55" s="49">
        <v>0</v>
      </c>
      <c r="AZ55" s="49">
        <v>0</v>
      </c>
      <c r="BA55" s="49">
        <v>0</v>
      </c>
      <c r="BB55" s="49">
        <v>0</v>
      </c>
      <c r="BC55" s="49">
        <v>0</v>
      </c>
      <c r="BD55" s="49">
        <v>0</v>
      </c>
      <c r="BE55" s="49">
        <v>0</v>
      </c>
      <c r="BF55" s="49">
        <v>0</v>
      </c>
      <c r="BG55" s="49">
        <v>0</v>
      </c>
      <c r="BH55" s="49">
        <v>0</v>
      </c>
      <c r="BI55" s="49">
        <v>0</v>
      </c>
      <c r="BJ55" s="49">
        <v>0</v>
      </c>
      <c r="BK55" s="49">
        <v>0</v>
      </c>
      <c r="BL55" s="49">
        <v>0</v>
      </c>
      <c r="BM55" s="49">
        <v>0</v>
      </c>
      <c r="BN55" s="49">
        <v>0</v>
      </c>
      <c r="BO55" s="49">
        <v>0</v>
      </c>
      <c r="BP55" s="49">
        <v>0</v>
      </c>
      <c r="BQ55" s="49">
        <v>0</v>
      </c>
      <c r="BR55" s="49">
        <v>0</v>
      </c>
      <c r="BS55" s="49">
        <v>0</v>
      </c>
      <c r="BT55" s="49">
        <v>0</v>
      </c>
      <c r="BU55" s="49">
        <v>0</v>
      </c>
      <c r="BV55" s="49">
        <v>0</v>
      </c>
      <c r="BW55" s="49">
        <v>0</v>
      </c>
      <c r="BX55" s="49">
        <v>0</v>
      </c>
      <c r="BY55" s="49">
        <v>0</v>
      </c>
      <c r="BZ55" s="49">
        <v>0</v>
      </c>
      <c r="CA55" s="49">
        <v>0</v>
      </c>
      <c r="CB55" s="49">
        <v>0</v>
      </c>
      <c r="CC55" s="49">
        <v>0</v>
      </c>
      <c r="CD55" s="49">
        <v>0</v>
      </c>
      <c r="CE55" s="49">
        <v>0</v>
      </c>
      <c r="CF55" s="49">
        <v>0</v>
      </c>
      <c r="CG55" s="49">
        <v>0</v>
      </c>
      <c r="CH55" s="49">
        <v>0</v>
      </c>
      <c r="CI55" s="49">
        <v>0</v>
      </c>
      <c r="CJ55" s="49">
        <v>0</v>
      </c>
      <c r="CK55" s="49">
        <v>0</v>
      </c>
      <c r="CL55"/>
      <c r="CN55" s="29"/>
      <c r="CO55" s="37"/>
    </row>
    <row r="56" spans="1:93" ht="15" x14ac:dyDescent="0.25">
      <c r="A56" s="34"/>
      <c r="B56" s="30"/>
      <c r="C56" s="58" t="s">
        <v>233</v>
      </c>
      <c r="D56" s="59" t="s">
        <v>260</v>
      </c>
      <c r="E56" s="54">
        <v>0</v>
      </c>
      <c r="F56" s="49">
        <v>0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0</v>
      </c>
      <c r="BG56" s="49">
        <v>0</v>
      </c>
      <c r="BH56" s="49">
        <v>0</v>
      </c>
      <c r="BI56" s="49">
        <v>0</v>
      </c>
      <c r="BJ56" s="49">
        <v>0</v>
      </c>
      <c r="BK56" s="49">
        <v>0</v>
      </c>
      <c r="BL56" s="49">
        <v>0</v>
      </c>
      <c r="BM56" s="49">
        <v>0</v>
      </c>
      <c r="BN56" s="49">
        <v>0</v>
      </c>
      <c r="BO56" s="49">
        <v>0</v>
      </c>
      <c r="BP56" s="49">
        <v>0</v>
      </c>
      <c r="BQ56" s="49">
        <v>0</v>
      </c>
      <c r="BR56" s="49">
        <v>0</v>
      </c>
      <c r="BS56" s="49">
        <v>0</v>
      </c>
      <c r="BT56" s="49">
        <v>0</v>
      </c>
      <c r="BU56" s="49">
        <v>0</v>
      </c>
      <c r="BV56" s="49">
        <v>0</v>
      </c>
      <c r="BW56" s="49">
        <v>0</v>
      </c>
      <c r="BX56" s="49">
        <v>0</v>
      </c>
      <c r="BY56" s="49">
        <v>0</v>
      </c>
      <c r="BZ56" s="49">
        <v>0</v>
      </c>
      <c r="CA56" s="49">
        <v>0</v>
      </c>
      <c r="CB56" s="49">
        <v>0</v>
      </c>
      <c r="CC56" s="49">
        <v>0</v>
      </c>
      <c r="CD56" s="49">
        <v>0</v>
      </c>
      <c r="CE56" s="49">
        <v>0</v>
      </c>
      <c r="CF56" s="49">
        <v>0</v>
      </c>
      <c r="CG56" s="49">
        <v>0</v>
      </c>
      <c r="CH56" s="49">
        <v>0</v>
      </c>
      <c r="CI56" s="49">
        <v>0</v>
      </c>
      <c r="CJ56" s="49">
        <v>0</v>
      </c>
      <c r="CK56" s="49">
        <v>0</v>
      </c>
      <c r="CL56"/>
      <c r="CN56" s="29"/>
      <c r="CO56" s="37"/>
    </row>
    <row r="57" spans="1:93" ht="15" x14ac:dyDescent="0.25">
      <c r="A57" s="34"/>
      <c r="B57" s="30"/>
      <c r="C57" s="58" t="s">
        <v>234</v>
      </c>
      <c r="D57" s="59" t="s">
        <v>260</v>
      </c>
      <c r="E57" s="54">
        <v>0</v>
      </c>
      <c r="F57" s="49">
        <v>0</v>
      </c>
      <c r="G57" s="49">
        <v>0</v>
      </c>
      <c r="H57" s="49">
        <v>0</v>
      </c>
      <c r="I57" s="49">
        <v>0</v>
      </c>
      <c r="J57" s="49">
        <v>0</v>
      </c>
      <c r="K57" s="49">
        <v>0</v>
      </c>
      <c r="L57" s="49">
        <v>0</v>
      </c>
      <c r="M57" s="49">
        <v>0</v>
      </c>
      <c r="N57" s="49">
        <v>0</v>
      </c>
      <c r="O57" s="49">
        <v>0</v>
      </c>
      <c r="P57" s="49">
        <v>0</v>
      </c>
      <c r="Q57" s="49">
        <v>0</v>
      </c>
      <c r="R57" s="49">
        <v>0</v>
      </c>
      <c r="S57" s="49">
        <v>0</v>
      </c>
      <c r="T57" s="49">
        <v>0</v>
      </c>
      <c r="U57" s="49">
        <v>0</v>
      </c>
      <c r="V57" s="49">
        <v>0</v>
      </c>
      <c r="W57" s="49">
        <v>0</v>
      </c>
      <c r="X57" s="49">
        <v>0</v>
      </c>
      <c r="Y57" s="49">
        <v>0</v>
      </c>
      <c r="Z57" s="49">
        <v>0</v>
      </c>
      <c r="AA57" s="49">
        <v>0</v>
      </c>
      <c r="AB57" s="49">
        <v>0</v>
      </c>
      <c r="AC57" s="49">
        <v>0</v>
      </c>
      <c r="AD57" s="49">
        <v>0</v>
      </c>
      <c r="AE57" s="49">
        <v>0</v>
      </c>
      <c r="AF57" s="49">
        <v>0</v>
      </c>
      <c r="AG57" s="49">
        <v>0</v>
      </c>
      <c r="AH57" s="49">
        <v>0</v>
      </c>
      <c r="AI57" s="49">
        <v>0</v>
      </c>
      <c r="AJ57" s="49">
        <v>0</v>
      </c>
      <c r="AK57" s="49">
        <v>0</v>
      </c>
      <c r="AL57" s="49">
        <v>0</v>
      </c>
      <c r="AM57" s="49">
        <v>0</v>
      </c>
      <c r="AN57" s="49">
        <v>0</v>
      </c>
      <c r="AO57" s="49">
        <v>0</v>
      </c>
      <c r="AP57" s="49">
        <v>0</v>
      </c>
      <c r="AQ57" s="49">
        <v>0</v>
      </c>
      <c r="AR57" s="49">
        <v>0</v>
      </c>
      <c r="AS57" s="49">
        <v>0</v>
      </c>
      <c r="AT57" s="49">
        <v>0</v>
      </c>
      <c r="AU57" s="49">
        <v>0</v>
      </c>
      <c r="AV57" s="49">
        <v>0</v>
      </c>
      <c r="AW57" s="49">
        <v>0</v>
      </c>
      <c r="AX57" s="49">
        <v>0</v>
      </c>
      <c r="AY57" s="49">
        <v>0</v>
      </c>
      <c r="AZ57" s="49">
        <v>0</v>
      </c>
      <c r="BA57" s="49">
        <v>0</v>
      </c>
      <c r="BB57" s="49">
        <v>0</v>
      </c>
      <c r="BC57" s="49">
        <v>0</v>
      </c>
      <c r="BD57" s="49">
        <v>0</v>
      </c>
      <c r="BE57" s="49">
        <v>0</v>
      </c>
      <c r="BF57" s="49">
        <v>0</v>
      </c>
      <c r="BG57" s="49">
        <v>0</v>
      </c>
      <c r="BH57" s="49">
        <v>0</v>
      </c>
      <c r="BI57" s="49">
        <v>0</v>
      </c>
      <c r="BJ57" s="49">
        <v>0</v>
      </c>
      <c r="BK57" s="49">
        <v>0</v>
      </c>
      <c r="BL57" s="49">
        <v>0</v>
      </c>
      <c r="BM57" s="49">
        <v>0</v>
      </c>
      <c r="BN57" s="49">
        <v>0</v>
      </c>
      <c r="BO57" s="49">
        <v>0</v>
      </c>
      <c r="BP57" s="49">
        <v>0</v>
      </c>
      <c r="BQ57" s="49">
        <v>0</v>
      </c>
      <c r="BR57" s="49">
        <v>0</v>
      </c>
      <c r="BS57" s="49">
        <v>0</v>
      </c>
      <c r="BT57" s="49">
        <v>0</v>
      </c>
      <c r="BU57" s="49">
        <v>0</v>
      </c>
      <c r="BV57" s="49">
        <v>0</v>
      </c>
      <c r="BW57" s="49">
        <v>0</v>
      </c>
      <c r="BX57" s="49">
        <v>0</v>
      </c>
      <c r="BY57" s="49">
        <v>0</v>
      </c>
      <c r="BZ57" s="49">
        <v>0</v>
      </c>
      <c r="CA57" s="49">
        <v>0</v>
      </c>
      <c r="CB57" s="49">
        <v>0</v>
      </c>
      <c r="CC57" s="49">
        <v>0</v>
      </c>
      <c r="CD57" s="49">
        <v>0</v>
      </c>
      <c r="CE57" s="49">
        <v>0</v>
      </c>
      <c r="CF57" s="49">
        <v>0</v>
      </c>
      <c r="CG57" s="49">
        <v>0</v>
      </c>
      <c r="CH57" s="49">
        <v>0</v>
      </c>
      <c r="CI57" s="49">
        <v>0</v>
      </c>
      <c r="CJ57" s="49">
        <v>0</v>
      </c>
      <c r="CK57" s="49">
        <v>0</v>
      </c>
      <c r="CL57"/>
      <c r="CN57" s="29"/>
      <c r="CO57" s="37"/>
    </row>
    <row r="58" spans="1:93" ht="15" x14ac:dyDescent="0.25">
      <c r="A58" s="34"/>
      <c r="B58" s="30"/>
      <c r="C58" s="58" t="s">
        <v>235</v>
      </c>
      <c r="D58" s="59" t="s">
        <v>260</v>
      </c>
      <c r="E58" s="54">
        <v>0</v>
      </c>
      <c r="F58" s="49">
        <v>0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0</v>
      </c>
      <c r="O58" s="49">
        <v>0</v>
      </c>
      <c r="P58" s="49">
        <v>0</v>
      </c>
      <c r="Q58" s="49">
        <v>0</v>
      </c>
      <c r="R58" s="49">
        <v>0</v>
      </c>
      <c r="S58" s="49">
        <v>0</v>
      </c>
      <c r="T58" s="49">
        <v>0</v>
      </c>
      <c r="U58" s="49">
        <v>0</v>
      </c>
      <c r="V58" s="49">
        <v>0</v>
      </c>
      <c r="W58" s="49">
        <v>0</v>
      </c>
      <c r="X58" s="49">
        <v>0</v>
      </c>
      <c r="Y58" s="49">
        <v>0</v>
      </c>
      <c r="Z58" s="49">
        <v>0</v>
      </c>
      <c r="AA58" s="49">
        <v>0</v>
      </c>
      <c r="AB58" s="49">
        <v>0</v>
      </c>
      <c r="AC58" s="49">
        <v>0</v>
      </c>
      <c r="AD58" s="49">
        <v>0</v>
      </c>
      <c r="AE58" s="49">
        <v>0</v>
      </c>
      <c r="AF58" s="49">
        <v>0</v>
      </c>
      <c r="AG58" s="49">
        <v>0</v>
      </c>
      <c r="AH58" s="49">
        <v>0</v>
      </c>
      <c r="AI58" s="49">
        <v>0</v>
      </c>
      <c r="AJ58" s="49">
        <v>0</v>
      </c>
      <c r="AK58" s="49">
        <v>0</v>
      </c>
      <c r="AL58" s="49">
        <v>0</v>
      </c>
      <c r="AM58" s="49">
        <v>0</v>
      </c>
      <c r="AN58" s="49">
        <v>0</v>
      </c>
      <c r="AO58" s="49">
        <v>0</v>
      </c>
      <c r="AP58" s="49">
        <v>0</v>
      </c>
      <c r="AQ58" s="49">
        <v>0</v>
      </c>
      <c r="AR58" s="49">
        <v>0</v>
      </c>
      <c r="AS58" s="49">
        <v>0</v>
      </c>
      <c r="AT58" s="49">
        <v>0</v>
      </c>
      <c r="AU58" s="49">
        <v>0</v>
      </c>
      <c r="AV58" s="49">
        <v>0</v>
      </c>
      <c r="AW58" s="49">
        <v>0</v>
      </c>
      <c r="AX58" s="49">
        <v>0</v>
      </c>
      <c r="AY58" s="49">
        <v>0</v>
      </c>
      <c r="AZ58" s="49">
        <v>0</v>
      </c>
      <c r="BA58" s="49">
        <v>0</v>
      </c>
      <c r="BB58" s="49">
        <v>0</v>
      </c>
      <c r="BC58" s="49">
        <v>0</v>
      </c>
      <c r="BD58" s="49">
        <v>0</v>
      </c>
      <c r="BE58" s="49">
        <v>0</v>
      </c>
      <c r="BF58" s="49">
        <v>0</v>
      </c>
      <c r="BG58" s="49">
        <v>0</v>
      </c>
      <c r="BH58" s="49">
        <v>0</v>
      </c>
      <c r="BI58" s="49">
        <v>0</v>
      </c>
      <c r="BJ58" s="49">
        <v>0</v>
      </c>
      <c r="BK58" s="49">
        <v>0</v>
      </c>
      <c r="BL58" s="49">
        <v>0</v>
      </c>
      <c r="BM58" s="49">
        <v>0</v>
      </c>
      <c r="BN58" s="49">
        <v>0</v>
      </c>
      <c r="BO58" s="49">
        <v>0</v>
      </c>
      <c r="BP58" s="49">
        <v>0</v>
      </c>
      <c r="BQ58" s="49">
        <v>0</v>
      </c>
      <c r="BR58" s="49">
        <v>0</v>
      </c>
      <c r="BS58" s="49">
        <v>0</v>
      </c>
      <c r="BT58" s="49">
        <v>0</v>
      </c>
      <c r="BU58" s="49">
        <v>0</v>
      </c>
      <c r="BV58" s="49">
        <v>0</v>
      </c>
      <c r="BW58" s="49">
        <v>0</v>
      </c>
      <c r="BX58" s="49">
        <v>0</v>
      </c>
      <c r="BY58" s="49">
        <v>0</v>
      </c>
      <c r="BZ58" s="49">
        <v>0</v>
      </c>
      <c r="CA58" s="49">
        <v>0</v>
      </c>
      <c r="CB58" s="49">
        <v>0</v>
      </c>
      <c r="CC58" s="49">
        <v>0</v>
      </c>
      <c r="CD58" s="49">
        <v>0</v>
      </c>
      <c r="CE58" s="49">
        <v>0</v>
      </c>
      <c r="CF58" s="49">
        <v>0</v>
      </c>
      <c r="CG58" s="49">
        <v>0</v>
      </c>
      <c r="CH58" s="49">
        <v>0</v>
      </c>
      <c r="CI58" s="49">
        <v>0</v>
      </c>
      <c r="CJ58" s="49">
        <v>0</v>
      </c>
      <c r="CK58" s="49">
        <v>0</v>
      </c>
      <c r="CL58"/>
      <c r="CN58" s="29"/>
      <c r="CO58" s="37"/>
    </row>
    <row r="59" spans="1:93" ht="15" x14ac:dyDescent="0.25">
      <c r="A59" s="34"/>
      <c r="B59" s="30"/>
      <c r="C59" s="58" t="s">
        <v>236</v>
      </c>
      <c r="D59" s="59" t="s">
        <v>260</v>
      </c>
      <c r="E59" s="54">
        <v>0</v>
      </c>
      <c r="F59" s="49">
        <v>0</v>
      </c>
      <c r="G59" s="49">
        <v>0</v>
      </c>
      <c r="H59" s="49">
        <v>0</v>
      </c>
      <c r="I59" s="49">
        <v>0</v>
      </c>
      <c r="J59" s="49">
        <v>0</v>
      </c>
      <c r="K59" s="49">
        <v>0</v>
      </c>
      <c r="L59" s="49">
        <v>0</v>
      </c>
      <c r="M59" s="49">
        <v>0</v>
      </c>
      <c r="N59" s="49">
        <v>0</v>
      </c>
      <c r="O59" s="49">
        <v>0</v>
      </c>
      <c r="P59" s="49">
        <v>0</v>
      </c>
      <c r="Q59" s="49">
        <v>0</v>
      </c>
      <c r="R59" s="49">
        <v>0</v>
      </c>
      <c r="S59" s="49">
        <v>0</v>
      </c>
      <c r="T59" s="49">
        <v>0</v>
      </c>
      <c r="U59" s="49">
        <v>0</v>
      </c>
      <c r="V59" s="49">
        <v>0</v>
      </c>
      <c r="W59" s="49">
        <v>0</v>
      </c>
      <c r="X59" s="49">
        <v>0</v>
      </c>
      <c r="Y59" s="49">
        <v>0</v>
      </c>
      <c r="Z59" s="49">
        <v>0</v>
      </c>
      <c r="AA59" s="49">
        <v>0</v>
      </c>
      <c r="AB59" s="49">
        <v>0</v>
      </c>
      <c r="AC59" s="49">
        <v>0</v>
      </c>
      <c r="AD59" s="49">
        <v>0</v>
      </c>
      <c r="AE59" s="49">
        <v>0</v>
      </c>
      <c r="AF59" s="49">
        <v>0</v>
      </c>
      <c r="AG59" s="49">
        <v>0</v>
      </c>
      <c r="AH59" s="49">
        <v>0</v>
      </c>
      <c r="AI59" s="49">
        <v>0</v>
      </c>
      <c r="AJ59" s="49">
        <v>0</v>
      </c>
      <c r="AK59" s="49">
        <v>0</v>
      </c>
      <c r="AL59" s="49">
        <v>0</v>
      </c>
      <c r="AM59" s="49">
        <v>0</v>
      </c>
      <c r="AN59" s="49">
        <v>0</v>
      </c>
      <c r="AO59" s="49">
        <v>0</v>
      </c>
      <c r="AP59" s="49">
        <v>0</v>
      </c>
      <c r="AQ59" s="49">
        <v>0</v>
      </c>
      <c r="AR59" s="49">
        <v>0</v>
      </c>
      <c r="AS59" s="49">
        <v>0</v>
      </c>
      <c r="AT59" s="49">
        <v>0</v>
      </c>
      <c r="AU59" s="49">
        <v>0</v>
      </c>
      <c r="AV59" s="49">
        <v>0</v>
      </c>
      <c r="AW59" s="49">
        <v>0</v>
      </c>
      <c r="AX59" s="49">
        <v>0</v>
      </c>
      <c r="AY59" s="49">
        <v>0</v>
      </c>
      <c r="AZ59" s="49">
        <v>0</v>
      </c>
      <c r="BA59" s="49">
        <v>0</v>
      </c>
      <c r="BB59" s="49">
        <v>0</v>
      </c>
      <c r="BC59" s="49">
        <v>0</v>
      </c>
      <c r="BD59" s="49">
        <v>0</v>
      </c>
      <c r="BE59" s="49">
        <v>0</v>
      </c>
      <c r="BF59" s="49">
        <v>0</v>
      </c>
      <c r="BG59" s="49">
        <v>0</v>
      </c>
      <c r="BH59" s="49">
        <v>0</v>
      </c>
      <c r="BI59" s="49">
        <v>0</v>
      </c>
      <c r="BJ59" s="49">
        <v>0</v>
      </c>
      <c r="BK59" s="49">
        <v>0</v>
      </c>
      <c r="BL59" s="49">
        <v>0</v>
      </c>
      <c r="BM59" s="49">
        <v>0</v>
      </c>
      <c r="BN59" s="49">
        <v>0</v>
      </c>
      <c r="BO59" s="49">
        <v>0</v>
      </c>
      <c r="BP59" s="49">
        <v>0</v>
      </c>
      <c r="BQ59" s="49">
        <v>0</v>
      </c>
      <c r="BR59" s="49">
        <v>0</v>
      </c>
      <c r="BS59" s="49">
        <v>0</v>
      </c>
      <c r="BT59" s="49">
        <v>0</v>
      </c>
      <c r="BU59" s="49">
        <v>0</v>
      </c>
      <c r="BV59" s="49">
        <v>0</v>
      </c>
      <c r="BW59" s="49">
        <v>0</v>
      </c>
      <c r="BX59" s="49">
        <v>0</v>
      </c>
      <c r="BY59" s="49">
        <v>0</v>
      </c>
      <c r="BZ59" s="49">
        <v>0</v>
      </c>
      <c r="CA59" s="49">
        <v>0</v>
      </c>
      <c r="CB59" s="49">
        <v>0</v>
      </c>
      <c r="CC59" s="49">
        <v>0</v>
      </c>
      <c r="CD59" s="49">
        <v>0</v>
      </c>
      <c r="CE59" s="49">
        <v>0</v>
      </c>
      <c r="CF59" s="49">
        <v>0</v>
      </c>
      <c r="CG59" s="49">
        <v>0</v>
      </c>
      <c r="CH59" s="49">
        <v>0</v>
      </c>
      <c r="CI59" s="49">
        <v>0</v>
      </c>
      <c r="CJ59" s="49">
        <v>0</v>
      </c>
      <c r="CK59" s="49">
        <v>0</v>
      </c>
      <c r="CL59"/>
      <c r="CN59" s="29"/>
      <c r="CO59" s="37"/>
    </row>
    <row r="60" spans="1:93" ht="15" x14ac:dyDescent="0.25">
      <c r="A60" s="34"/>
      <c r="B60" s="30"/>
      <c r="C60" s="58" t="s">
        <v>237</v>
      </c>
      <c r="D60" s="59" t="s">
        <v>260</v>
      </c>
      <c r="E60" s="54">
        <v>0</v>
      </c>
      <c r="F60" s="49">
        <v>0</v>
      </c>
      <c r="G60" s="49">
        <v>0</v>
      </c>
      <c r="H60" s="49">
        <v>0</v>
      </c>
      <c r="I60" s="49">
        <v>0</v>
      </c>
      <c r="J60" s="49">
        <v>0</v>
      </c>
      <c r="K60" s="49">
        <v>0</v>
      </c>
      <c r="L60" s="49">
        <v>0</v>
      </c>
      <c r="M60" s="49">
        <v>0</v>
      </c>
      <c r="N60" s="49">
        <v>0</v>
      </c>
      <c r="O60" s="49">
        <v>0</v>
      </c>
      <c r="P60" s="49">
        <v>0</v>
      </c>
      <c r="Q60" s="49">
        <v>0</v>
      </c>
      <c r="R60" s="49">
        <v>0</v>
      </c>
      <c r="S60" s="49">
        <v>0</v>
      </c>
      <c r="T60" s="49">
        <v>0</v>
      </c>
      <c r="U60" s="49">
        <v>0</v>
      </c>
      <c r="V60" s="49">
        <v>0</v>
      </c>
      <c r="W60" s="49">
        <v>0</v>
      </c>
      <c r="X60" s="49">
        <v>0</v>
      </c>
      <c r="Y60" s="49">
        <v>0</v>
      </c>
      <c r="Z60" s="49">
        <v>0</v>
      </c>
      <c r="AA60" s="49">
        <v>0</v>
      </c>
      <c r="AB60" s="49">
        <v>0</v>
      </c>
      <c r="AC60" s="49">
        <v>0</v>
      </c>
      <c r="AD60" s="49">
        <v>0</v>
      </c>
      <c r="AE60" s="49">
        <v>0</v>
      </c>
      <c r="AF60" s="49">
        <v>0</v>
      </c>
      <c r="AG60" s="49">
        <v>0</v>
      </c>
      <c r="AH60" s="49">
        <v>0</v>
      </c>
      <c r="AI60" s="49">
        <v>0</v>
      </c>
      <c r="AJ60" s="49">
        <v>0</v>
      </c>
      <c r="AK60" s="49">
        <v>0</v>
      </c>
      <c r="AL60" s="49">
        <v>0</v>
      </c>
      <c r="AM60" s="49">
        <v>0</v>
      </c>
      <c r="AN60" s="49">
        <v>0</v>
      </c>
      <c r="AO60" s="49">
        <v>0</v>
      </c>
      <c r="AP60" s="49">
        <v>0</v>
      </c>
      <c r="AQ60" s="49">
        <v>0</v>
      </c>
      <c r="AR60" s="49">
        <v>0</v>
      </c>
      <c r="AS60" s="49">
        <v>0</v>
      </c>
      <c r="AT60" s="49">
        <v>0</v>
      </c>
      <c r="AU60" s="49">
        <v>0</v>
      </c>
      <c r="AV60" s="49">
        <v>0</v>
      </c>
      <c r="AW60" s="49">
        <v>0</v>
      </c>
      <c r="AX60" s="49">
        <v>0</v>
      </c>
      <c r="AY60" s="49">
        <v>0</v>
      </c>
      <c r="AZ60" s="49">
        <v>0</v>
      </c>
      <c r="BA60" s="49">
        <v>0</v>
      </c>
      <c r="BB60" s="49">
        <v>0</v>
      </c>
      <c r="BC60" s="49">
        <v>0</v>
      </c>
      <c r="BD60" s="49">
        <v>0</v>
      </c>
      <c r="BE60" s="49">
        <v>0</v>
      </c>
      <c r="BF60" s="49">
        <v>0</v>
      </c>
      <c r="BG60" s="49">
        <v>0</v>
      </c>
      <c r="BH60" s="49">
        <v>0</v>
      </c>
      <c r="BI60" s="49">
        <v>0</v>
      </c>
      <c r="BJ60" s="49">
        <v>0</v>
      </c>
      <c r="BK60" s="49">
        <v>0</v>
      </c>
      <c r="BL60" s="49">
        <v>0</v>
      </c>
      <c r="BM60" s="49">
        <v>0</v>
      </c>
      <c r="BN60" s="49">
        <v>0</v>
      </c>
      <c r="BO60" s="49">
        <v>0</v>
      </c>
      <c r="BP60" s="49">
        <v>0</v>
      </c>
      <c r="BQ60" s="49">
        <v>0</v>
      </c>
      <c r="BR60" s="49">
        <v>0</v>
      </c>
      <c r="BS60" s="49">
        <v>0</v>
      </c>
      <c r="BT60" s="49">
        <v>0</v>
      </c>
      <c r="BU60" s="49">
        <v>0</v>
      </c>
      <c r="BV60" s="49">
        <v>0</v>
      </c>
      <c r="BW60" s="49">
        <v>0</v>
      </c>
      <c r="BX60" s="49">
        <v>0</v>
      </c>
      <c r="BY60" s="49">
        <v>0</v>
      </c>
      <c r="BZ60" s="49">
        <v>0</v>
      </c>
      <c r="CA60" s="49">
        <v>0</v>
      </c>
      <c r="CB60" s="49">
        <v>0</v>
      </c>
      <c r="CC60" s="49">
        <v>0</v>
      </c>
      <c r="CD60" s="49">
        <v>0</v>
      </c>
      <c r="CE60" s="49">
        <v>0</v>
      </c>
      <c r="CF60" s="49">
        <v>0</v>
      </c>
      <c r="CG60" s="49">
        <v>0</v>
      </c>
      <c r="CH60" s="49">
        <v>0</v>
      </c>
      <c r="CI60" s="49">
        <v>0</v>
      </c>
      <c r="CJ60" s="49">
        <v>0</v>
      </c>
      <c r="CK60" s="49">
        <v>0</v>
      </c>
      <c r="CL60"/>
      <c r="CN60" s="29"/>
      <c r="CO60" s="37"/>
    </row>
    <row r="61" spans="1:93" ht="15" x14ac:dyDescent="0.25">
      <c r="A61" s="34"/>
      <c r="B61" s="30"/>
      <c r="C61" s="58" t="s">
        <v>238</v>
      </c>
      <c r="D61" s="59" t="s">
        <v>260</v>
      </c>
      <c r="E61" s="54">
        <v>0</v>
      </c>
      <c r="F61" s="49">
        <v>0</v>
      </c>
      <c r="G61" s="49">
        <v>0</v>
      </c>
      <c r="H61" s="49">
        <v>0</v>
      </c>
      <c r="I61" s="49">
        <v>0</v>
      </c>
      <c r="J61" s="49">
        <v>0</v>
      </c>
      <c r="K61" s="49">
        <v>0</v>
      </c>
      <c r="L61" s="49">
        <v>0</v>
      </c>
      <c r="M61" s="49">
        <v>0</v>
      </c>
      <c r="N61" s="49">
        <v>0</v>
      </c>
      <c r="O61" s="49">
        <v>0</v>
      </c>
      <c r="P61" s="49">
        <v>0</v>
      </c>
      <c r="Q61" s="49">
        <v>0</v>
      </c>
      <c r="R61" s="49">
        <v>0</v>
      </c>
      <c r="S61" s="49">
        <v>0</v>
      </c>
      <c r="T61" s="49">
        <v>0</v>
      </c>
      <c r="U61" s="49">
        <v>0</v>
      </c>
      <c r="V61" s="49">
        <v>0</v>
      </c>
      <c r="W61" s="49">
        <v>0</v>
      </c>
      <c r="X61" s="49">
        <v>0</v>
      </c>
      <c r="Y61" s="49">
        <v>0</v>
      </c>
      <c r="Z61" s="49">
        <v>0</v>
      </c>
      <c r="AA61" s="49">
        <v>0</v>
      </c>
      <c r="AB61" s="49">
        <v>0</v>
      </c>
      <c r="AC61" s="49">
        <v>0</v>
      </c>
      <c r="AD61" s="49">
        <v>0</v>
      </c>
      <c r="AE61" s="49">
        <v>0</v>
      </c>
      <c r="AF61" s="49">
        <v>0</v>
      </c>
      <c r="AG61" s="49">
        <v>0</v>
      </c>
      <c r="AH61" s="49">
        <v>0</v>
      </c>
      <c r="AI61" s="49">
        <v>0</v>
      </c>
      <c r="AJ61" s="49">
        <v>0</v>
      </c>
      <c r="AK61" s="49">
        <v>0</v>
      </c>
      <c r="AL61" s="49">
        <v>0</v>
      </c>
      <c r="AM61" s="49">
        <v>0</v>
      </c>
      <c r="AN61" s="49">
        <v>0</v>
      </c>
      <c r="AO61" s="49">
        <v>0</v>
      </c>
      <c r="AP61" s="49">
        <v>0</v>
      </c>
      <c r="AQ61" s="49">
        <v>0</v>
      </c>
      <c r="AR61" s="49">
        <v>0</v>
      </c>
      <c r="AS61" s="49">
        <v>0</v>
      </c>
      <c r="AT61" s="49">
        <v>0</v>
      </c>
      <c r="AU61" s="49">
        <v>0</v>
      </c>
      <c r="AV61" s="49">
        <v>0</v>
      </c>
      <c r="AW61" s="49">
        <v>0</v>
      </c>
      <c r="AX61" s="49">
        <v>0</v>
      </c>
      <c r="AY61" s="49">
        <v>0</v>
      </c>
      <c r="AZ61" s="49">
        <v>0</v>
      </c>
      <c r="BA61" s="49">
        <v>0</v>
      </c>
      <c r="BB61" s="49">
        <v>0</v>
      </c>
      <c r="BC61" s="49">
        <v>0</v>
      </c>
      <c r="BD61" s="49">
        <v>0</v>
      </c>
      <c r="BE61" s="49">
        <v>0</v>
      </c>
      <c r="BF61" s="49">
        <v>0</v>
      </c>
      <c r="BG61" s="49">
        <v>0</v>
      </c>
      <c r="BH61" s="49">
        <v>0</v>
      </c>
      <c r="BI61" s="49">
        <v>0</v>
      </c>
      <c r="BJ61" s="49">
        <v>0</v>
      </c>
      <c r="BK61" s="49">
        <v>0</v>
      </c>
      <c r="BL61" s="49">
        <v>0</v>
      </c>
      <c r="BM61" s="49">
        <v>0</v>
      </c>
      <c r="BN61" s="49">
        <v>0</v>
      </c>
      <c r="BO61" s="49">
        <v>0</v>
      </c>
      <c r="BP61" s="49">
        <v>0</v>
      </c>
      <c r="BQ61" s="49">
        <v>0</v>
      </c>
      <c r="BR61" s="49">
        <v>0</v>
      </c>
      <c r="BS61" s="49">
        <v>0</v>
      </c>
      <c r="BT61" s="49">
        <v>0</v>
      </c>
      <c r="BU61" s="49">
        <v>0</v>
      </c>
      <c r="BV61" s="49">
        <v>0</v>
      </c>
      <c r="BW61" s="49">
        <v>0</v>
      </c>
      <c r="BX61" s="49">
        <v>0</v>
      </c>
      <c r="BY61" s="49">
        <v>0</v>
      </c>
      <c r="BZ61" s="49">
        <v>0</v>
      </c>
      <c r="CA61" s="49">
        <v>0</v>
      </c>
      <c r="CB61" s="49">
        <v>0</v>
      </c>
      <c r="CC61" s="49">
        <v>0</v>
      </c>
      <c r="CD61" s="49">
        <v>0</v>
      </c>
      <c r="CE61" s="49">
        <v>0</v>
      </c>
      <c r="CF61" s="49">
        <v>0</v>
      </c>
      <c r="CG61" s="49">
        <v>0</v>
      </c>
      <c r="CH61" s="49">
        <v>0</v>
      </c>
      <c r="CI61" s="49">
        <v>0</v>
      </c>
      <c r="CJ61" s="49">
        <v>0</v>
      </c>
      <c r="CK61" s="49">
        <v>0</v>
      </c>
      <c r="CL61"/>
      <c r="CN61" s="29"/>
      <c r="CO61" s="37"/>
    </row>
    <row r="62" spans="1:93" ht="15" x14ac:dyDescent="0.25">
      <c r="A62" s="34"/>
      <c r="B62" s="30"/>
      <c r="C62" s="58" t="s">
        <v>239</v>
      </c>
      <c r="D62" s="59" t="s">
        <v>260</v>
      </c>
      <c r="E62" s="54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0</v>
      </c>
      <c r="AK62" s="49">
        <v>0</v>
      </c>
      <c r="AL62" s="49">
        <v>0</v>
      </c>
      <c r="AM62" s="49">
        <v>0</v>
      </c>
      <c r="AN62" s="49">
        <v>0</v>
      </c>
      <c r="AO62" s="49">
        <v>0</v>
      </c>
      <c r="AP62" s="49">
        <v>0</v>
      </c>
      <c r="AQ62" s="49">
        <v>0</v>
      </c>
      <c r="AR62" s="49">
        <v>0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0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0</v>
      </c>
      <c r="BG62" s="49">
        <v>0</v>
      </c>
      <c r="BH62" s="49">
        <v>0</v>
      </c>
      <c r="BI62" s="49">
        <v>0</v>
      </c>
      <c r="BJ62" s="49">
        <v>0</v>
      </c>
      <c r="BK62" s="49">
        <v>0</v>
      </c>
      <c r="BL62" s="49">
        <v>0</v>
      </c>
      <c r="BM62" s="49">
        <v>0</v>
      </c>
      <c r="BN62" s="49">
        <v>0</v>
      </c>
      <c r="BO62" s="49">
        <v>0</v>
      </c>
      <c r="BP62" s="49">
        <v>0</v>
      </c>
      <c r="BQ62" s="49">
        <v>0</v>
      </c>
      <c r="BR62" s="49">
        <v>0</v>
      </c>
      <c r="BS62" s="49">
        <v>0</v>
      </c>
      <c r="BT62" s="49">
        <v>0</v>
      </c>
      <c r="BU62" s="49">
        <v>0</v>
      </c>
      <c r="BV62" s="49">
        <v>0</v>
      </c>
      <c r="BW62" s="49">
        <v>0</v>
      </c>
      <c r="BX62" s="49">
        <v>0</v>
      </c>
      <c r="BY62" s="49">
        <v>0</v>
      </c>
      <c r="BZ62" s="49">
        <v>0</v>
      </c>
      <c r="CA62" s="49">
        <v>0</v>
      </c>
      <c r="CB62" s="49">
        <v>0</v>
      </c>
      <c r="CC62" s="49">
        <v>0</v>
      </c>
      <c r="CD62" s="49">
        <v>0</v>
      </c>
      <c r="CE62" s="49">
        <v>0</v>
      </c>
      <c r="CF62" s="49">
        <v>0</v>
      </c>
      <c r="CG62" s="49">
        <v>0</v>
      </c>
      <c r="CH62" s="49">
        <v>0</v>
      </c>
      <c r="CI62" s="49">
        <v>0</v>
      </c>
      <c r="CJ62" s="49">
        <v>0</v>
      </c>
      <c r="CK62" s="49">
        <v>0</v>
      </c>
      <c r="CL62"/>
      <c r="CN62" s="29"/>
      <c r="CO62" s="37"/>
    </row>
    <row r="63" spans="1:93" ht="15" x14ac:dyDescent="0.25">
      <c r="A63" s="34"/>
      <c r="B63" s="30"/>
      <c r="C63" s="58" t="s">
        <v>240</v>
      </c>
      <c r="D63" s="59" t="s">
        <v>260</v>
      </c>
      <c r="E63" s="54">
        <v>0</v>
      </c>
      <c r="F63" s="49">
        <v>0</v>
      </c>
      <c r="G63" s="49">
        <v>0</v>
      </c>
      <c r="H63" s="49">
        <v>0</v>
      </c>
      <c r="I63" s="49">
        <v>0</v>
      </c>
      <c r="J63" s="49">
        <v>0</v>
      </c>
      <c r="K63" s="49">
        <v>0</v>
      </c>
      <c r="L63" s="49">
        <v>0</v>
      </c>
      <c r="M63" s="49">
        <v>0</v>
      </c>
      <c r="N63" s="49">
        <v>0</v>
      </c>
      <c r="O63" s="49">
        <v>0</v>
      </c>
      <c r="P63" s="49">
        <v>0</v>
      </c>
      <c r="Q63" s="49">
        <v>0</v>
      </c>
      <c r="R63" s="49">
        <v>0</v>
      </c>
      <c r="S63" s="49">
        <v>0</v>
      </c>
      <c r="T63" s="49">
        <v>0</v>
      </c>
      <c r="U63" s="49">
        <v>0</v>
      </c>
      <c r="V63" s="49">
        <v>0</v>
      </c>
      <c r="W63" s="49">
        <v>0</v>
      </c>
      <c r="X63" s="49">
        <v>0</v>
      </c>
      <c r="Y63" s="49">
        <v>0</v>
      </c>
      <c r="Z63" s="49">
        <v>0</v>
      </c>
      <c r="AA63" s="49">
        <v>0</v>
      </c>
      <c r="AB63" s="49">
        <v>0</v>
      </c>
      <c r="AC63" s="49">
        <v>0</v>
      </c>
      <c r="AD63" s="49">
        <v>0</v>
      </c>
      <c r="AE63" s="49">
        <v>0</v>
      </c>
      <c r="AF63" s="49">
        <v>0</v>
      </c>
      <c r="AG63" s="49">
        <v>0</v>
      </c>
      <c r="AH63" s="49">
        <v>0</v>
      </c>
      <c r="AI63" s="49">
        <v>0</v>
      </c>
      <c r="AJ63" s="49">
        <v>0</v>
      </c>
      <c r="AK63" s="49">
        <v>0</v>
      </c>
      <c r="AL63" s="49">
        <v>0</v>
      </c>
      <c r="AM63" s="49">
        <v>0</v>
      </c>
      <c r="AN63" s="49">
        <v>0</v>
      </c>
      <c r="AO63" s="49">
        <v>0</v>
      </c>
      <c r="AP63" s="49">
        <v>0</v>
      </c>
      <c r="AQ63" s="49">
        <v>0</v>
      </c>
      <c r="AR63" s="49">
        <v>0</v>
      </c>
      <c r="AS63" s="49">
        <v>0</v>
      </c>
      <c r="AT63" s="49">
        <v>0</v>
      </c>
      <c r="AU63" s="49">
        <v>0</v>
      </c>
      <c r="AV63" s="49">
        <v>0</v>
      </c>
      <c r="AW63" s="49">
        <v>0</v>
      </c>
      <c r="AX63" s="49">
        <v>0</v>
      </c>
      <c r="AY63" s="49">
        <v>0</v>
      </c>
      <c r="AZ63" s="49">
        <v>0</v>
      </c>
      <c r="BA63" s="49">
        <v>0</v>
      </c>
      <c r="BB63" s="49">
        <v>0</v>
      </c>
      <c r="BC63" s="49">
        <v>0</v>
      </c>
      <c r="BD63" s="49">
        <v>0</v>
      </c>
      <c r="BE63" s="49">
        <v>0</v>
      </c>
      <c r="BF63" s="49">
        <v>0</v>
      </c>
      <c r="BG63" s="49">
        <v>0</v>
      </c>
      <c r="BH63" s="49">
        <v>0</v>
      </c>
      <c r="BI63" s="49">
        <v>0</v>
      </c>
      <c r="BJ63" s="49">
        <v>0</v>
      </c>
      <c r="BK63" s="49">
        <v>0</v>
      </c>
      <c r="BL63" s="49">
        <v>0</v>
      </c>
      <c r="BM63" s="49">
        <v>0</v>
      </c>
      <c r="BN63" s="49">
        <v>0</v>
      </c>
      <c r="BO63" s="49">
        <v>0</v>
      </c>
      <c r="BP63" s="49">
        <v>0</v>
      </c>
      <c r="BQ63" s="49">
        <v>0</v>
      </c>
      <c r="BR63" s="49">
        <v>0</v>
      </c>
      <c r="BS63" s="49">
        <v>0</v>
      </c>
      <c r="BT63" s="49">
        <v>0</v>
      </c>
      <c r="BU63" s="49">
        <v>0</v>
      </c>
      <c r="BV63" s="49">
        <v>0</v>
      </c>
      <c r="BW63" s="49">
        <v>0</v>
      </c>
      <c r="BX63" s="49">
        <v>0</v>
      </c>
      <c r="BY63" s="49">
        <v>0</v>
      </c>
      <c r="BZ63" s="49">
        <v>0</v>
      </c>
      <c r="CA63" s="49">
        <v>0</v>
      </c>
      <c r="CB63" s="49">
        <v>0</v>
      </c>
      <c r="CC63" s="49">
        <v>0</v>
      </c>
      <c r="CD63" s="49">
        <v>0</v>
      </c>
      <c r="CE63" s="49">
        <v>0</v>
      </c>
      <c r="CF63" s="49">
        <v>0</v>
      </c>
      <c r="CG63" s="49">
        <v>0</v>
      </c>
      <c r="CH63" s="49">
        <v>0</v>
      </c>
      <c r="CI63" s="49">
        <v>0</v>
      </c>
      <c r="CJ63" s="49">
        <v>0</v>
      </c>
      <c r="CK63" s="49">
        <v>0</v>
      </c>
      <c r="CL63"/>
      <c r="CN63" s="29"/>
      <c r="CO63" s="37"/>
    </row>
    <row r="64" spans="1:93" ht="15" x14ac:dyDescent="0.25">
      <c r="A64" s="34"/>
      <c r="B64" s="30"/>
      <c r="C64" s="58" t="s">
        <v>241</v>
      </c>
      <c r="D64" s="59" t="s">
        <v>260</v>
      </c>
      <c r="E64" s="54">
        <v>0</v>
      </c>
      <c r="F64" s="49">
        <v>0</v>
      </c>
      <c r="G64" s="49">
        <v>0</v>
      </c>
      <c r="H64" s="49">
        <v>0</v>
      </c>
      <c r="I64" s="49">
        <v>0</v>
      </c>
      <c r="J64" s="49">
        <v>0</v>
      </c>
      <c r="K64" s="49">
        <v>0</v>
      </c>
      <c r="L64" s="49">
        <v>0</v>
      </c>
      <c r="M64" s="49">
        <v>0</v>
      </c>
      <c r="N64" s="49">
        <v>0</v>
      </c>
      <c r="O64" s="49">
        <v>0</v>
      </c>
      <c r="P64" s="49">
        <v>0</v>
      </c>
      <c r="Q64" s="49">
        <v>0</v>
      </c>
      <c r="R64" s="49">
        <v>0</v>
      </c>
      <c r="S64" s="49">
        <v>0</v>
      </c>
      <c r="T64" s="49">
        <v>0</v>
      </c>
      <c r="U64" s="49">
        <v>0</v>
      </c>
      <c r="V64" s="49">
        <v>0</v>
      </c>
      <c r="W64" s="49">
        <v>0</v>
      </c>
      <c r="X64" s="49">
        <v>0</v>
      </c>
      <c r="Y64" s="49">
        <v>0</v>
      </c>
      <c r="Z64" s="49">
        <v>0</v>
      </c>
      <c r="AA64" s="49">
        <v>0</v>
      </c>
      <c r="AB64" s="49">
        <v>0</v>
      </c>
      <c r="AC64" s="49">
        <v>0</v>
      </c>
      <c r="AD64" s="49">
        <v>0</v>
      </c>
      <c r="AE64" s="49">
        <v>0</v>
      </c>
      <c r="AF64" s="49">
        <v>0</v>
      </c>
      <c r="AG64" s="49">
        <v>0</v>
      </c>
      <c r="AH64" s="49">
        <v>0</v>
      </c>
      <c r="AI64" s="49">
        <v>0</v>
      </c>
      <c r="AJ64" s="49">
        <v>0</v>
      </c>
      <c r="AK64" s="49">
        <v>0</v>
      </c>
      <c r="AL64" s="49">
        <v>0</v>
      </c>
      <c r="AM64" s="49">
        <v>0</v>
      </c>
      <c r="AN64" s="49">
        <v>0</v>
      </c>
      <c r="AO64" s="49">
        <v>0</v>
      </c>
      <c r="AP64" s="49">
        <v>0</v>
      </c>
      <c r="AQ64" s="49">
        <v>0</v>
      </c>
      <c r="AR64" s="49">
        <v>0</v>
      </c>
      <c r="AS64" s="49">
        <v>0</v>
      </c>
      <c r="AT64" s="49">
        <v>0</v>
      </c>
      <c r="AU64" s="49">
        <v>0</v>
      </c>
      <c r="AV64" s="49">
        <v>0</v>
      </c>
      <c r="AW64" s="49">
        <v>0</v>
      </c>
      <c r="AX64" s="49">
        <v>0</v>
      </c>
      <c r="AY64" s="49">
        <v>0</v>
      </c>
      <c r="AZ64" s="49">
        <v>0</v>
      </c>
      <c r="BA64" s="49">
        <v>0</v>
      </c>
      <c r="BB64" s="49">
        <v>0</v>
      </c>
      <c r="BC64" s="49">
        <v>0</v>
      </c>
      <c r="BD64" s="49">
        <v>0</v>
      </c>
      <c r="BE64" s="49">
        <v>0</v>
      </c>
      <c r="BF64" s="49">
        <v>0</v>
      </c>
      <c r="BG64" s="49">
        <v>0</v>
      </c>
      <c r="BH64" s="49">
        <v>0</v>
      </c>
      <c r="BI64" s="49">
        <v>0</v>
      </c>
      <c r="BJ64" s="49">
        <v>0</v>
      </c>
      <c r="BK64" s="49">
        <v>0</v>
      </c>
      <c r="BL64" s="49">
        <v>0</v>
      </c>
      <c r="BM64" s="49">
        <v>0</v>
      </c>
      <c r="BN64" s="49">
        <v>0</v>
      </c>
      <c r="BO64" s="49">
        <v>0</v>
      </c>
      <c r="BP64" s="49">
        <v>0</v>
      </c>
      <c r="BQ64" s="49">
        <v>0</v>
      </c>
      <c r="BR64" s="49">
        <v>0</v>
      </c>
      <c r="BS64" s="49">
        <v>0</v>
      </c>
      <c r="BT64" s="49">
        <v>0</v>
      </c>
      <c r="BU64" s="49">
        <v>0</v>
      </c>
      <c r="BV64" s="49">
        <v>0</v>
      </c>
      <c r="BW64" s="49">
        <v>0</v>
      </c>
      <c r="BX64" s="49">
        <v>0</v>
      </c>
      <c r="BY64" s="49">
        <v>0</v>
      </c>
      <c r="BZ64" s="49">
        <v>0</v>
      </c>
      <c r="CA64" s="49">
        <v>0</v>
      </c>
      <c r="CB64" s="49">
        <v>0</v>
      </c>
      <c r="CC64" s="49">
        <v>0</v>
      </c>
      <c r="CD64" s="49">
        <v>0</v>
      </c>
      <c r="CE64" s="49">
        <v>0</v>
      </c>
      <c r="CF64" s="49">
        <v>0</v>
      </c>
      <c r="CG64" s="49">
        <v>0</v>
      </c>
      <c r="CH64" s="49">
        <v>0</v>
      </c>
      <c r="CI64" s="49">
        <v>0</v>
      </c>
      <c r="CJ64" s="49">
        <v>0</v>
      </c>
      <c r="CK64" s="49">
        <v>0</v>
      </c>
      <c r="CL64"/>
      <c r="CN64" s="29"/>
      <c r="CO64" s="37"/>
    </row>
    <row r="65" spans="1:93" ht="15" x14ac:dyDescent="0.25">
      <c r="A65" s="34"/>
      <c r="B65" s="30"/>
      <c r="C65" s="58" t="s">
        <v>242</v>
      </c>
      <c r="D65" s="59" t="s">
        <v>260</v>
      </c>
      <c r="E65" s="54">
        <v>0</v>
      </c>
      <c r="F65" s="49">
        <v>0</v>
      </c>
      <c r="G65" s="49">
        <v>0</v>
      </c>
      <c r="H65" s="49">
        <v>0</v>
      </c>
      <c r="I65" s="49">
        <v>0</v>
      </c>
      <c r="J65" s="49">
        <v>0</v>
      </c>
      <c r="K65" s="49">
        <v>0</v>
      </c>
      <c r="L65" s="49">
        <v>0</v>
      </c>
      <c r="M65" s="49">
        <v>0</v>
      </c>
      <c r="N65" s="49">
        <v>0</v>
      </c>
      <c r="O65" s="49">
        <v>0</v>
      </c>
      <c r="P65" s="49">
        <v>0</v>
      </c>
      <c r="Q65" s="49">
        <v>0</v>
      </c>
      <c r="R65" s="49">
        <v>0</v>
      </c>
      <c r="S65" s="49">
        <v>0</v>
      </c>
      <c r="T65" s="49">
        <v>0</v>
      </c>
      <c r="U65" s="49">
        <v>0</v>
      </c>
      <c r="V65" s="49">
        <v>0</v>
      </c>
      <c r="W65" s="49">
        <v>0</v>
      </c>
      <c r="X65" s="49">
        <v>0</v>
      </c>
      <c r="Y65" s="49">
        <v>0</v>
      </c>
      <c r="Z65" s="49">
        <v>0</v>
      </c>
      <c r="AA65" s="49">
        <v>0</v>
      </c>
      <c r="AB65" s="49">
        <v>0</v>
      </c>
      <c r="AC65" s="49">
        <v>0</v>
      </c>
      <c r="AD65" s="49">
        <v>0</v>
      </c>
      <c r="AE65" s="49">
        <v>0</v>
      </c>
      <c r="AF65" s="49">
        <v>0</v>
      </c>
      <c r="AG65" s="49">
        <v>0</v>
      </c>
      <c r="AH65" s="49">
        <v>0</v>
      </c>
      <c r="AI65" s="49">
        <v>0</v>
      </c>
      <c r="AJ65" s="49">
        <v>0</v>
      </c>
      <c r="AK65" s="49">
        <v>0</v>
      </c>
      <c r="AL65" s="49">
        <v>0</v>
      </c>
      <c r="AM65" s="49">
        <v>0</v>
      </c>
      <c r="AN65" s="49">
        <v>0</v>
      </c>
      <c r="AO65" s="49">
        <v>0</v>
      </c>
      <c r="AP65" s="49">
        <v>0</v>
      </c>
      <c r="AQ65" s="49">
        <v>0</v>
      </c>
      <c r="AR65" s="49">
        <v>0</v>
      </c>
      <c r="AS65" s="49">
        <v>0</v>
      </c>
      <c r="AT65" s="49">
        <v>0</v>
      </c>
      <c r="AU65" s="49">
        <v>0</v>
      </c>
      <c r="AV65" s="49">
        <v>0</v>
      </c>
      <c r="AW65" s="49">
        <v>0</v>
      </c>
      <c r="AX65" s="49">
        <v>0</v>
      </c>
      <c r="AY65" s="49">
        <v>0</v>
      </c>
      <c r="AZ65" s="49">
        <v>0</v>
      </c>
      <c r="BA65" s="49">
        <v>0</v>
      </c>
      <c r="BB65" s="49">
        <v>0</v>
      </c>
      <c r="BC65" s="49">
        <v>0</v>
      </c>
      <c r="BD65" s="49">
        <v>0</v>
      </c>
      <c r="BE65" s="49">
        <v>0</v>
      </c>
      <c r="BF65" s="49">
        <v>0</v>
      </c>
      <c r="BG65" s="49">
        <v>0</v>
      </c>
      <c r="BH65" s="49">
        <v>0</v>
      </c>
      <c r="BI65" s="49">
        <v>0</v>
      </c>
      <c r="BJ65" s="49">
        <v>0</v>
      </c>
      <c r="BK65" s="49">
        <v>0</v>
      </c>
      <c r="BL65" s="49">
        <v>0</v>
      </c>
      <c r="BM65" s="49">
        <v>0</v>
      </c>
      <c r="BN65" s="49">
        <v>0</v>
      </c>
      <c r="BO65" s="49">
        <v>0</v>
      </c>
      <c r="BP65" s="49">
        <v>0</v>
      </c>
      <c r="BQ65" s="49">
        <v>0</v>
      </c>
      <c r="BR65" s="49">
        <v>0</v>
      </c>
      <c r="BS65" s="49">
        <v>0</v>
      </c>
      <c r="BT65" s="49">
        <v>0</v>
      </c>
      <c r="BU65" s="49">
        <v>0</v>
      </c>
      <c r="BV65" s="49">
        <v>0</v>
      </c>
      <c r="BW65" s="49">
        <v>0</v>
      </c>
      <c r="BX65" s="49">
        <v>0</v>
      </c>
      <c r="BY65" s="49">
        <v>0</v>
      </c>
      <c r="BZ65" s="49">
        <v>0</v>
      </c>
      <c r="CA65" s="49">
        <v>0</v>
      </c>
      <c r="CB65" s="49">
        <v>0</v>
      </c>
      <c r="CC65" s="49">
        <v>0</v>
      </c>
      <c r="CD65" s="49">
        <v>0</v>
      </c>
      <c r="CE65" s="49">
        <v>0</v>
      </c>
      <c r="CF65" s="49">
        <v>0</v>
      </c>
      <c r="CG65" s="49">
        <v>0</v>
      </c>
      <c r="CH65" s="49">
        <v>0</v>
      </c>
      <c r="CI65" s="49">
        <v>0</v>
      </c>
      <c r="CJ65" s="49">
        <v>0</v>
      </c>
      <c r="CK65" s="49">
        <v>0</v>
      </c>
      <c r="CL65"/>
      <c r="CN65" s="29"/>
      <c r="CO65" s="37"/>
    </row>
    <row r="66" spans="1:93" ht="15" x14ac:dyDescent="0.25">
      <c r="A66" s="34"/>
      <c r="B66" s="30"/>
      <c r="C66" s="58" t="s">
        <v>243</v>
      </c>
      <c r="D66" s="59" t="s">
        <v>260</v>
      </c>
      <c r="E66" s="54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0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0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49">
        <v>0</v>
      </c>
      <c r="BW66" s="49">
        <v>0</v>
      </c>
      <c r="BX66" s="49">
        <v>0</v>
      </c>
      <c r="BY66" s="49">
        <v>0</v>
      </c>
      <c r="BZ66" s="49">
        <v>0</v>
      </c>
      <c r="CA66" s="49">
        <v>0</v>
      </c>
      <c r="CB66" s="49">
        <v>0</v>
      </c>
      <c r="CC66" s="49">
        <v>0</v>
      </c>
      <c r="CD66" s="49">
        <v>0</v>
      </c>
      <c r="CE66" s="49">
        <v>0</v>
      </c>
      <c r="CF66" s="49">
        <v>0</v>
      </c>
      <c r="CG66" s="49">
        <v>0</v>
      </c>
      <c r="CH66" s="49">
        <v>0</v>
      </c>
      <c r="CI66" s="49">
        <v>0</v>
      </c>
      <c r="CJ66" s="49">
        <v>0</v>
      </c>
      <c r="CK66" s="49">
        <v>0</v>
      </c>
      <c r="CL66"/>
      <c r="CN66" s="29"/>
      <c r="CO66" s="37"/>
    </row>
    <row r="67" spans="1:93" ht="15" x14ac:dyDescent="0.25">
      <c r="A67" s="34"/>
      <c r="B67" s="30"/>
      <c r="C67" s="58" t="s">
        <v>244</v>
      </c>
      <c r="D67" s="59" t="s">
        <v>260</v>
      </c>
      <c r="E67" s="54">
        <v>0</v>
      </c>
      <c r="F67" s="49">
        <v>0</v>
      </c>
      <c r="G67" s="49">
        <v>0</v>
      </c>
      <c r="H67" s="49">
        <v>0</v>
      </c>
      <c r="I67" s="49">
        <v>0</v>
      </c>
      <c r="J67" s="49">
        <v>0</v>
      </c>
      <c r="K67" s="49">
        <v>0</v>
      </c>
      <c r="L67" s="49">
        <v>0</v>
      </c>
      <c r="M67" s="49">
        <v>0</v>
      </c>
      <c r="N67" s="49">
        <v>0</v>
      </c>
      <c r="O67" s="49">
        <v>0</v>
      </c>
      <c r="P67" s="49">
        <v>0</v>
      </c>
      <c r="Q67" s="49">
        <v>0</v>
      </c>
      <c r="R67" s="49">
        <v>0</v>
      </c>
      <c r="S67" s="49">
        <v>0</v>
      </c>
      <c r="T67" s="49">
        <v>0</v>
      </c>
      <c r="U67" s="49">
        <v>0</v>
      </c>
      <c r="V67" s="49">
        <v>0</v>
      </c>
      <c r="W67" s="49">
        <v>0</v>
      </c>
      <c r="X67" s="49">
        <v>0</v>
      </c>
      <c r="Y67" s="49">
        <v>0</v>
      </c>
      <c r="Z67" s="49">
        <v>0</v>
      </c>
      <c r="AA67" s="49">
        <v>0</v>
      </c>
      <c r="AB67" s="49">
        <v>0</v>
      </c>
      <c r="AC67" s="49">
        <v>0</v>
      </c>
      <c r="AD67" s="49">
        <v>0</v>
      </c>
      <c r="AE67" s="49">
        <v>0</v>
      </c>
      <c r="AF67" s="49">
        <v>0</v>
      </c>
      <c r="AG67" s="49">
        <v>0</v>
      </c>
      <c r="AH67" s="49">
        <v>0</v>
      </c>
      <c r="AI67" s="49">
        <v>0</v>
      </c>
      <c r="AJ67" s="49">
        <v>0</v>
      </c>
      <c r="AK67" s="49">
        <v>0</v>
      </c>
      <c r="AL67" s="49">
        <v>0</v>
      </c>
      <c r="AM67" s="49">
        <v>0</v>
      </c>
      <c r="AN67" s="49">
        <v>0</v>
      </c>
      <c r="AO67" s="49">
        <v>0</v>
      </c>
      <c r="AP67" s="49">
        <v>0</v>
      </c>
      <c r="AQ67" s="49">
        <v>0</v>
      </c>
      <c r="AR67" s="49">
        <v>0</v>
      </c>
      <c r="AS67" s="49">
        <v>0</v>
      </c>
      <c r="AT67" s="49">
        <v>0</v>
      </c>
      <c r="AU67" s="49">
        <v>0</v>
      </c>
      <c r="AV67" s="49">
        <v>0</v>
      </c>
      <c r="AW67" s="49">
        <v>0</v>
      </c>
      <c r="AX67" s="49">
        <v>0</v>
      </c>
      <c r="AY67" s="49">
        <v>0</v>
      </c>
      <c r="AZ67" s="49">
        <v>0</v>
      </c>
      <c r="BA67" s="49">
        <v>0</v>
      </c>
      <c r="BB67" s="49">
        <v>0</v>
      </c>
      <c r="BC67" s="49">
        <v>0</v>
      </c>
      <c r="BD67" s="49">
        <v>0</v>
      </c>
      <c r="BE67" s="49">
        <v>0</v>
      </c>
      <c r="BF67" s="49">
        <v>0</v>
      </c>
      <c r="BG67" s="49">
        <v>0</v>
      </c>
      <c r="BH67" s="49">
        <v>0</v>
      </c>
      <c r="BI67" s="49">
        <v>0</v>
      </c>
      <c r="BJ67" s="49">
        <v>0</v>
      </c>
      <c r="BK67" s="49">
        <v>0</v>
      </c>
      <c r="BL67" s="49">
        <v>0</v>
      </c>
      <c r="BM67" s="49">
        <v>0</v>
      </c>
      <c r="BN67" s="49">
        <v>0</v>
      </c>
      <c r="BO67" s="49">
        <v>0</v>
      </c>
      <c r="BP67" s="49">
        <v>0</v>
      </c>
      <c r="BQ67" s="49">
        <v>0</v>
      </c>
      <c r="BR67" s="49">
        <v>0</v>
      </c>
      <c r="BS67" s="49">
        <v>0</v>
      </c>
      <c r="BT67" s="49">
        <v>0</v>
      </c>
      <c r="BU67" s="49">
        <v>0</v>
      </c>
      <c r="BV67" s="49">
        <v>0</v>
      </c>
      <c r="BW67" s="49">
        <v>0</v>
      </c>
      <c r="BX67" s="49">
        <v>0</v>
      </c>
      <c r="BY67" s="49">
        <v>0</v>
      </c>
      <c r="BZ67" s="49">
        <v>0</v>
      </c>
      <c r="CA67" s="49">
        <v>0</v>
      </c>
      <c r="CB67" s="49">
        <v>0</v>
      </c>
      <c r="CC67" s="49">
        <v>0</v>
      </c>
      <c r="CD67" s="49">
        <v>0</v>
      </c>
      <c r="CE67" s="49">
        <v>0</v>
      </c>
      <c r="CF67" s="49">
        <v>0</v>
      </c>
      <c r="CG67" s="49">
        <v>0</v>
      </c>
      <c r="CH67" s="49">
        <v>0</v>
      </c>
      <c r="CI67" s="49">
        <v>0</v>
      </c>
      <c r="CJ67" s="49">
        <v>0</v>
      </c>
      <c r="CK67" s="49">
        <v>0</v>
      </c>
      <c r="CL67"/>
      <c r="CN67" s="29"/>
      <c r="CO67" s="37"/>
    </row>
    <row r="68" spans="1:93" ht="15" x14ac:dyDescent="0.25">
      <c r="A68" s="34"/>
      <c r="B68" s="30"/>
      <c r="C68" s="58" t="s">
        <v>245</v>
      </c>
      <c r="D68" s="59" t="s">
        <v>260</v>
      </c>
      <c r="E68" s="54">
        <v>0</v>
      </c>
      <c r="F68" s="49">
        <v>0</v>
      </c>
      <c r="G68" s="49">
        <v>0</v>
      </c>
      <c r="H68" s="49">
        <v>0</v>
      </c>
      <c r="I68" s="49">
        <v>0</v>
      </c>
      <c r="J68" s="49">
        <v>0</v>
      </c>
      <c r="K68" s="49">
        <v>0</v>
      </c>
      <c r="L68" s="49">
        <v>0</v>
      </c>
      <c r="M68" s="49">
        <v>0</v>
      </c>
      <c r="N68" s="49">
        <v>0</v>
      </c>
      <c r="O68" s="49">
        <v>0</v>
      </c>
      <c r="P68" s="49">
        <v>0</v>
      </c>
      <c r="Q68" s="49">
        <v>0</v>
      </c>
      <c r="R68" s="49">
        <v>0</v>
      </c>
      <c r="S68" s="49">
        <v>0</v>
      </c>
      <c r="T68" s="49">
        <v>0</v>
      </c>
      <c r="U68" s="49">
        <v>0</v>
      </c>
      <c r="V68" s="49">
        <v>0</v>
      </c>
      <c r="W68" s="49">
        <v>0</v>
      </c>
      <c r="X68" s="49">
        <v>0</v>
      </c>
      <c r="Y68" s="49">
        <v>0</v>
      </c>
      <c r="Z68" s="49">
        <v>0</v>
      </c>
      <c r="AA68" s="49">
        <v>0</v>
      </c>
      <c r="AB68" s="49">
        <v>0</v>
      </c>
      <c r="AC68" s="49">
        <v>0</v>
      </c>
      <c r="AD68" s="49">
        <v>0</v>
      </c>
      <c r="AE68" s="49">
        <v>0</v>
      </c>
      <c r="AF68" s="49">
        <v>0</v>
      </c>
      <c r="AG68" s="49">
        <v>0</v>
      </c>
      <c r="AH68" s="49">
        <v>0</v>
      </c>
      <c r="AI68" s="49">
        <v>0</v>
      </c>
      <c r="AJ68" s="49">
        <v>0</v>
      </c>
      <c r="AK68" s="49">
        <v>0</v>
      </c>
      <c r="AL68" s="49">
        <v>0</v>
      </c>
      <c r="AM68" s="49">
        <v>0</v>
      </c>
      <c r="AN68" s="49">
        <v>0</v>
      </c>
      <c r="AO68" s="49">
        <v>0</v>
      </c>
      <c r="AP68" s="49">
        <v>0</v>
      </c>
      <c r="AQ68" s="49">
        <v>0</v>
      </c>
      <c r="AR68" s="49">
        <v>0</v>
      </c>
      <c r="AS68" s="49">
        <v>0</v>
      </c>
      <c r="AT68" s="49">
        <v>0</v>
      </c>
      <c r="AU68" s="49">
        <v>0</v>
      </c>
      <c r="AV68" s="49">
        <v>0</v>
      </c>
      <c r="AW68" s="49">
        <v>0</v>
      </c>
      <c r="AX68" s="49">
        <v>0</v>
      </c>
      <c r="AY68" s="49">
        <v>0</v>
      </c>
      <c r="AZ68" s="49">
        <v>0</v>
      </c>
      <c r="BA68" s="49">
        <v>0</v>
      </c>
      <c r="BB68" s="49">
        <v>0</v>
      </c>
      <c r="BC68" s="49">
        <v>0</v>
      </c>
      <c r="BD68" s="49">
        <v>0</v>
      </c>
      <c r="BE68" s="49">
        <v>0</v>
      </c>
      <c r="BF68" s="49">
        <v>0</v>
      </c>
      <c r="BG68" s="49">
        <v>0</v>
      </c>
      <c r="BH68" s="49">
        <v>0</v>
      </c>
      <c r="BI68" s="49">
        <v>0</v>
      </c>
      <c r="BJ68" s="49">
        <v>0</v>
      </c>
      <c r="BK68" s="49">
        <v>0</v>
      </c>
      <c r="BL68" s="49">
        <v>0</v>
      </c>
      <c r="BM68" s="49">
        <v>0</v>
      </c>
      <c r="BN68" s="49">
        <v>0</v>
      </c>
      <c r="BO68" s="49">
        <v>0</v>
      </c>
      <c r="BP68" s="49">
        <v>0</v>
      </c>
      <c r="BQ68" s="49">
        <v>0</v>
      </c>
      <c r="BR68" s="49">
        <v>0</v>
      </c>
      <c r="BS68" s="49">
        <v>0</v>
      </c>
      <c r="BT68" s="49">
        <v>0</v>
      </c>
      <c r="BU68" s="49">
        <v>0</v>
      </c>
      <c r="BV68" s="49">
        <v>0</v>
      </c>
      <c r="BW68" s="49">
        <v>0</v>
      </c>
      <c r="BX68" s="49">
        <v>0</v>
      </c>
      <c r="BY68" s="49">
        <v>0</v>
      </c>
      <c r="BZ68" s="49">
        <v>0</v>
      </c>
      <c r="CA68" s="49">
        <v>0</v>
      </c>
      <c r="CB68" s="49">
        <v>0</v>
      </c>
      <c r="CC68" s="49">
        <v>0</v>
      </c>
      <c r="CD68" s="49">
        <v>0</v>
      </c>
      <c r="CE68" s="49">
        <v>0</v>
      </c>
      <c r="CF68" s="49">
        <v>0</v>
      </c>
      <c r="CG68" s="49">
        <v>0</v>
      </c>
      <c r="CH68" s="49">
        <v>0</v>
      </c>
      <c r="CI68" s="49">
        <v>0</v>
      </c>
      <c r="CJ68" s="49">
        <v>0</v>
      </c>
      <c r="CK68" s="49">
        <v>0</v>
      </c>
      <c r="CL68"/>
      <c r="CN68" s="29"/>
      <c r="CO68" s="37"/>
    </row>
    <row r="69" spans="1:93" ht="15" x14ac:dyDescent="0.25">
      <c r="A69" s="34"/>
      <c r="B69" s="30"/>
      <c r="C69" s="58" t="s">
        <v>246</v>
      </c>
      <c r="D69" s="59" t="s">
        <v>260</v>
      </c>
      <c r="E69" s="54">
        <v>0</v>
      </c>
      <c r="F69" s="49">
        <v>0</v>
      </c>
      <c r="G69" s="49">
        <v>0</v>
      </c>
      <c r="H69" s="49">
        <v>0</v>
      </c>
      <c r="I69" s="49">
        <v>0</v>
      </c>
      <c r="J69" s="49">
        <v>0</v>
      </c>
      <c r="K69" s="49">
        <v>0</v>
      </c>
      <c r="L69" s="49">
        <v>0</v>
      </c>
      <c r="M69" s="49">
        <v>0</v>
      </c>
      <c r="N69" s="49">
        <v>0</v>
      </c>
      <c r="O69" s="49">
        <v>0</v>
      </c>
      <c r="P69" s="49">
        <v>0</v>
      </c>
      <c r="Q69" s="49">
        <v>0</v>
      </c>
      <c r="R69" s="49">
        <v>0</v>
      </c>
      <c r="S69" s="49">
        <v>0</v>
      </c>
      <c r="T69" s="49">
        <v>0</v>
      </c>
      <c r="U69" s="49">
        <v>0</v>
      </c>
      <c r="V69" s="49">
        <v>0</v>
      </c>
      <c r="W69" s="49">
        <v>0</v>
      </c>
      <c r="X69" s="49">
        <v>0</v>
      </c>
      <c r="Y69" s="49">
        <v>0</v>
      </c>
      <c r="Z69" s="49">
        <v>0</v>
      </c>
      <c r="AA69" s="49">
        <v>0</v>
      </c>
      <c r="AB69" s="49">
        <v>0</v>
      </c>
      <c r="AC69" s="49">
        <v>0</v>
      </c>
      <c r="AD69" s="49">
        <v>0</v>
      </c>
      <c r="AE69" s="49">
        <v>0</v>
      </c>
      <c r="AF69" s="49">
        <v>0</v>
      </c>
      <c r="AG69" s="49">
        <v>0</v>
      </c>
      <c r="AH69" s="49">
        <v>0</v>
      </c>
      <c r="AI69" s="49">
        <v>0</v>
      </c>
      <c r="AJ69" s="49">
        <v>0</v>
      </c>
      <c r="AK69" s="49">
        <v>0</v>
      </c>
      <c r="AL69" s="49">
        <v>0</v>
      </c>
      <c r="AM69" s="49">
        <v>0</v>
      </c>
      <c r="AN69" s="49">
        <v>0</v>
      </c>
      <c r="AO69" s="49">
        <v>0</v>
      </c>
      <c r="AP69" s="49">
        <v>0</v>
      </c>
      <c r="AQ69" s="49">
        <v>0</v>
      </c>
      <c r="AR69" s="49">
        <v>0</v>
      </c>
      <c r="AS69" s="49">
        <v>0</v>
      </c>
      <c r="AT69" s="49">
        <v>0</v>
      </c>
      <c r="AU69" s="49">
        <v>0</v>
      </c>
      <c r="AV69" s="49">
        <v>0</v>
      </c>
      <c r="AW69" s="49">
        <v>0</v>
      </c>
      <c r="AX69" s="49">
        <v>0</v>
      </c>
      <c r="AY69" s="49">
        <v>0</v>
      </c>
      <c r="AZ69" s="49">
        <v>0</v>
      </c>
      <c r="BA69" s="49">
        <v>0</v>
      </c>
      <c r="BB69" s="49">
        <v>0</v>
      </c>
      <c r="BC69" s="49">
        <v>0</v>
      </c>
      <c r="BD69" s="49">
        <v>0</v>
      </c>
      <c r="BE69" s="49">
        <v>0</v>
      </c>
      <c r="BF69" s="49">
        <v>0</v>
      </c>
      <c r="BG69" s="49">
        <v>0</v>
      </c>
      <c r="BH69" s="49">
        <v>0</v>
      </c>
      <c r="BI69" s="49">
        <v>0</v>
      </c>
      <c r="BJ69" s="49">
        <v>0</v>
      </c>
      <c r="BK69" s="49">
        <v>0</v>
      </c>
      <c r="BL69" s="49">
        <v>0</v>
      </c>
      <c r="BM69" s="49">
        <v>0</v>
      </c>
      <c r="BN69" s="49">
        <v>0</v>
      </c>
      <c r="BO69" s="49">
        <v>0</v>
      </c>
      <c r="BP69" s="49">
        <v>0</v>
      </c>
      <c r="BQ69" s="49">
        <v>0</v>
      </c>
      <c r="BR69" s="49">
        <v>0</v>
      </c>
      <c r="BS69" s="49">
        <v>0</v>
      </c>
      <c r="BT69" s="49">
        <v>0</v>
      </c>
      <c r="BU69" s="49">
        <v>0</v>
      </c>
      <c r="BV69" s="49">
        <v>0</v>
      </c>
      <c r="BW69" s="49">
        <v>0</v>
      </c>
      <c r="BX69" s="49">
        <v>0</v>
      </c>
      <c r="BY69" s="49">
        <v>0</v>
      </c>
      <c r="BZ69" s="49">
        <v>0</v>
      </c>
      <c r="CA69" s="49">
        <v>0</v>
      </c>
      <c r="CB69" s="49">
        <v>0</v>
      </c>
      <c r="CC69" s="49">
        <v>0</v>
      </c>
      <c r="CD69" s="49">
        <v>0</v>
      </c>
      <c r="CE69" s="49">
        <v>0</v>
      </c>
      <c r="CF69" s="49">
        <v>0</v>
      </c>
      <c r="CG69" s="49">
        <v>0</v>
      </c>
      <c r="CH69" s="49">
        <v>0</v>
      </c>
      <c r="CI69" s="49">
        <v>0</v>
      </c>
      <c r="CJ69" s="49">
        <v>0</v>
      </c>
      <c r="CK69" s="49">
        <v>0</v>
      </c>
      <c r="CL69"/>
      <c r="CN69" s="29"/>
      <c r="CO69" s="37"/>
    </row>
    <row r="70" spans="1:93" ht="15" x14ac:dyDescent="0.25">
      <c r="A70" s="34"/>
      <c r="B70" s="30"/>
      <c r="C70" s="58" t="s">
        <v>247</v>
      </c>
      <c r="D70" s="59" t="s">
        <v>260</v>
      </c>
      <c r="E70" s="54">
        <v>0</v>
      </c>
      <c r="F70" s="49">
        <v>0</v>
      </c>
      <c r="G70" s="49">
        <v>0</v>
      </c>
      <c r="H70" s="49">
        <v>0</v>
      </c>
      <c r="I70" s="49">
        <v>0</v>
      </c>
      <c r="J70" s="49">
        <v>0</v>
      </c>
      <c r="K70" s="49">
        <v>0</v>
      </c>
      <c r="L70" s="49">
        <v>0</v>
      </c>
      <c r="M70" s="49">
        <v>0</v>
      </c>
      <c r="N70" s="49">
        <v>0</v>
      </c>
      <c r="O70" s="49">
        <v>0</v>
      </c>
      <c r="P70" s="49">
        <v>0</v>
      </c>
      <c r="Q70" s="49">
        <v>0</v>
      </c>
      <c r="R70" s="49">
        <v>0</v>
      </c>
      <c r="S70" s="49">
        <v>0</v>
      </c>
      <c r="T70" s="49">
        <v>0</v>
      </c>
      <c r="U70" s="49">
        <v>0</v>
      </c>
      <c r="V70" s="49">
        <v>0</v>
      </c>
      <c r="W70" s="49">
        <v>0</v>
      </c>
      <c r="X70" s="49">
        <v>0</v>
      </c>
      <c r="Y70" s="49">
        <v>0</v>
      </c>
      <c r="Z70" s="49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0</v>
      </c>
      <c r="AF70" s="49">
        <v>0</v>
      </c>
      <c r="AG70" s="49">
        <v>0</v>
      </c>
      <c r="AH70" s="49">
        <v>0</v>
      </c>
      <c r="AI70" s="49">
        <v>0</v>
      </c>
      <c r="AJ70" s="49">
        <v>0</v>
      </c>
      <c r="AK70" s="49">
        <v>0</v>
      </c>
      <c r="AL70" s="49">
        <v>0</v>
      </c>
      <c r="AM70" s="49">
        <v>0</v>
      </c>
      <c r="AN70" s="49">
        <v>0</v>
      </c>
      <c r="AO70" s="49">
        <v>0</v>
      </c>
      <c r="AP70" s="49">
        <v>0</v>
      </c>
      <c r="AQ70" s="49">
        <v>0</v>
      </c>
      <c r="AR70" s="49">
        <v>0</v>
      </c>
      <c r="AS70" s="49">
        <v>0</v>
      </c>
      <c r="AT70" s="49">
        <v>0</v>
      </c>
      <c r="AU70" s="49">
        <v>0</v>
      </c>
      <c r="AV70" s="49">
        <v>0</v>
      </c>
      <c r="AW70" s="49">
        <v>0</v>
      </c>
      <c r="AX70" s="49">
        <v>0</v>
      </c>
      <c r="AY70" s="49">
        <v>0</v>
      </c>
      <c r="AZ70" s="49">
        <v>0</v>
      </c>
      <c r="BA70" s="49">
        <v>0</v>
      </c>
      <c r="BB70" s="49">
        <v>0</v>
      </c>
      <c r="BC70" s="49">
        <v>0</v>
      </c>
      <c r="BD70" s="49">
        <v>0</v>
      </c>
      <c r="BE70" s="49">
        <v>0</v>
      </c>
      <c r="BF70" s="49">
        <v>0</v>
      </c>
      <c r="BG70" s="49">
        <v>0</v>
      </c>
      <c r="BH70" s="49">
        <v>0</v>
      </c>
      <c r="BI70" s="49">
        <v>0</v>
      </c>
      <c r="BJ70" s="49">
        <v>0</v>
      </c>
      <c r="BK70" s="49">
        <v>0</v>
      </c>
      <c r="BL70" s="49">
        <v>0</v>
      </c>
      <c r="BM70" s="49">
        <v>0</v>
      </c>
      <c r="BN70" s="49">
        <v>0</v>
      </c>
      <c r="BO70" s="49">
        <v>0</v>
      </c>
      <c r="BP70" s="49">
        <v>0</v>
      </c>
      <c r="BQ70" s="49">
        <v>0</v>
      </c>
      <c r="BR70" s="49">
        <v>0</v>
      </c>
      <c r="BS70" s="49">
        <v>0</v>
      </c>
      <c r="BT70" s="49">
        <v>0</v>
      </c>
      <c r="BU70" s="49">
        <v>0</v>
      </c>
      <c r="BV70" s="49">
        <v>0</v>
      </c>
      <c r="BW70" s="49">
        <v>0</v>
      </c>
      <c r="BX70" s="49">
        <v>0</v>
      </c>
      <c r="BY70" s="49">
        <v>0</v>
      </c>
      <c r="BZ70" s="49">
        <v>0</v>
      </c>
      <c r="CA70" s="49">
        <v>0</v>
      </c>
      <c r="CB70" s="49">
        <v>0</v>
      </c>
      <c r="CC70" s="49">
        <v>0</v>
      </c>
      <c r="CD70" s="49">
        <v>0</v>
      </c>
      <c r="CE70" s="49">
        <v>0</v>
      </c>
      <c r="CF70" s="49">
        <v>0</v>
      </c>
      <c r="CG70" s="49">
        <v>0</v>
      </c>
      <c r="CH70" s="49">
        <v>0</v>
      </c>
      <c r="CI70" s="49">
        <v>0</v>
      </c>
      <c r="CJ70" s="49">
        <v>0</v>
      </c>
      <c r="CK70" s="49">
        <v>0</v>
      </c>
      <c r="CL70"/>
      <c r="CN70" s="29"/>
      <c r="CO70" s="37"/>
    </row>
    <row r="71" spans="1:93" ht="15" x14ac:dyDescent="0.25">
      <c r="A71" s="34"/>
      <c r="B71" s="30"/>
      <c r="C71" s="58" t="s">
        <v>248</v>
      </c>
      <c r="D71" s="59" t="s">
        <v>260</v>
      </c>
      <c r="E71" s="54">
        <v>0</v>
      </c>
      <c r="F71" s="49">
        <v>0</v>
      </c>
      <c r="G71" s="49">
        <v>0</v>
      </c>
      <c r="H71" s="49">
        <v>0</v>
      </c>
      <c r="I71" s="49">
        <v>0</v>
      </c>
      <c r="J71" s="49">
        <v>0</v>
      </c>
      <c r="K71" s="49">
        <v>0</v>
      </c>
      <c r="L71" s="49">
        <v>0</v>
      </c>
      <c r="M71" s="49">
        <v>0</v>
      </c>
      <c r="N71" s="49">
        <v>0</v>
      </c>
      <c r="O71" s="49">
        <v>0</v>
      </c>
      <c r="P71" s="49">
        <v>0</v>
      </c>
      <c r="Q71" s="49">
        <v>0</v>
      </c>
      <c r="R71" s="49">
        <v>0</v>
      </c>
      <c r="S71" s="49">
        <v>0</v>
      </c>
      <c r="T71" s="49">
        <v>0</v>
      </c>
      <c r="U71" s="49">
        <v>0</v>
      </c>
      <c r="V71" s="49">
        <v>0</v>
      </c>
      <c r="W71" s="49">
        <v>0</v>
      </c>
      <c r="X71" s="49">
        <v>0</v>
      </c>
      <c r="Y71" s="49">
        <v>0</v>
      </c>
      <c r="Z71" s="49">
        <v>0</v>
      </c>
      <c r="AA71" s="49">
        <v>0</v>
      </c>
      <c r="AB71" s="49">
        <v>0</v>
      </c>
      <c r="AC71" s="49">
        <v>0</v>
      </c>
      <c r="AD71" s="49">
        <v>0</v>
      </c>
      <c r="AE71" s="49">
        <v>0</v>
      </c>
      <c r="AF71" s="49">
        <v>0</v>
      </c>
      <c r="AG71" s="49">
        <v>0</v>
      </c>
      <c r="AH71" s="49">
        <v>0</v>
      </c>
      <c r="AI71" s="49">
        <v>0</v>
      </c>
      <c r="AJ71" s="49">
        <v>0</v>
      </c>
      <c r="AK71" s="49">
        <v>0</v>
      </c>
      <c r="AL71" s="49">
        <v>0</v>
      </c>
      <c r="AM71" s="49">
        <v>0</v>
      </c>
      <c r="AN71" s="49">
        <v>0</v>
      </c>
      <c r="AO71" s="49">
        <v>0</v>
      </c>
      <c r="AP71" s="49">
        <v>0</v>
      </c>
      <c r="AQ71" s="49">
        <v>0</v>
      </c>
      <c r="AR71" s="49">
        <v>0</v>
      </c>
      <c r="AS71" s="49">
        <v>0</v>
      </c>
      <c r="AT71" s="49">
        <v>0</v>
      </c>
      <c r="AU71" s="49">
        <v>0</v>
      </c>
      <c r="AV71" s="49">
        <v>0</v>
      </c>
      <c r="AW71" s="49">
        <v>0</v>
      </c>
      <c r="AX71" s="49">
        <v>0</v>
      </c>
      <c r="AY71" s="49">
        <v>0</v>
      </c>
      <c r="AZ71" s="49">
        <v>0</v>
      </c>
      <c r="BA71" s="49">
        <v>0</v>
      </c>
      <c r="BB71" s="49">
        <v>0</v>
      </c>
      <c r="BC71" s="49">
        <v>0</v>
      </c>
      <c r="BD71" s="49">
        <v>0</v>
      </c>
      <c r="BE71" s="49">
        <v>0</v>
      </c>
      <c r="BF71" s="49">
        <v>0</v>
      </c>
      <c r="BG71" s="49">
        <v>0</v>
      </c>
      <c r="BH71" s="49">
        <v>0</v>
      </c>
      <c r="BI71" s="49">
        <v>0</v>
      </c>
      <c r="BJ71" s="49">
        <v>0</v>
      </c>
      <c r="BK71" s="49">
        <v>0</v>
      </c>
      <c r="BL71" s="49">
        <v>0</v>
      </c>
      <c r="BM71" s="49">
        <v>0</v>
      </c>
      <c r="BN71" s="49">
        <v>0</v>
      </c>
      <c r="BO71" s="49">
        <v>0</v>
      </c>
      <c r="BP71" s="49">
        <v>0</v>
      </c>
      <c r="BQ71" s="49">
        <v>0</v>
      </c>
      <c r="BR71" s="49">
        <v>0</v>
      </c>
      <c r="BS71" s="49">
        <v>0</v>
      </c>
      <c r="BT71" s="49">
        <v>0</v>
      </c>
      <c r="BU71" s="49">
        <v>0</v>
      </c>
      <c r="BV71" s="49">
        <v>0</v>
      </c>
      <c r="BW71" s="49">
        <v>0</v>
      </c>
      <c r="BX71" s="49">
        <v>0</v>
      </c>
      <c r="BY71" s="49">
        <v>0</v>
      </c>
      <c r="BZ71" s="49">
        <v>0</v>
      </c>
      <c r="CA71" s="49">
        <v>0</v>
      </c>
      <c r="CB71" s="49">
        <v>0</v>
      </c>
      <c r="CC71" s="49">
        <v>0</v>
      </c>
      <c r="CD71" s="49">
        <v>0</v>
      </c>
      <c r="CE71" s="49">
        <v>0</v>
      </c>
      <c r="CF71" s="49">
        <v>0</v>
      </c>
      <c r="CG71" s="49">
        <v>0</v>
      </c>
      <c r="CH71" s="49">
        <v>0</v>
      </c>
      <c r="CI71" s="49">
        <v>0</v>
      </c>
      <c r="CJ71" s="49">
        <v>0</v>
      </c>
      <c r="CK71" s="49">
        <v>0</v>
      </c>
      <c r="CL71"/>
      <c r="CN71" s="29"/>
      <c r="CO71" s="37"/>
    </row>
    <row r="72" spans="1:93" ht="15" x14ac:dyDescent="0.25">
      <c r="A72" s="34"/>
      <c r="B72" s="30"/>
      <c r="C72" s="58" t="s">
        <v>249</v>
      </c>
      <c r="D72" s="59" t="s">
        <v>260</v>
      </c>
      <c r="E72" s="54">
        <v>0</v>
      </c>
      <c r="F72" s="49">
        <v>0</v>
      </c>
      <c r="G72" s="49">
        <v>0</v>
      </c>
      <c r="H72" s="49">
        <v>0</v>
      </c>
      <c r="I72" s="49">
        <v>0</v>
      </c>
      <c r="J72" s="49">
        <v>0</v>
      </c>
      <c r="K72" s="49">
        <v>0</v>
      </c>
      <c r="L72" s="49">
        <v>0</v>
      </c>
      <c r="M72" s="49">
        <v>0</v>
      </c>
      <c r="N72" s="49">
        <v>0</v>
      </c>
      <c r="O72" s="49">
        <v>0</v>
      </c>
      <c r="P72" s="49">
        <v>0</v>
      </c>
      <c r="Q72" s="49">
        <v>0</v>
      </c>
      <c r="R72" s="49">
        <v>0</v>
      </c>
      <c r="S72" s="49">
        <v>0</v>
      </c>
      <c r="T72" s="49">
        <v>0</v>
      </c>
      <c r="U72" s="49">
        <v>0</v>
      </c>
      <c r="V72" s="49">
        <v>0</v>
      </c>
      <c r="W72" s="49">
        <v>0</v>
      </c>
      <c r="X72" s="49">
        <v>0</v>
      </c>
      <c r="Y72" s="49">
        <v>0</v>
      </c>
      <c r="Z72" s="49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0</v>
      </c>
      <c r="AF72" s="49">
        <v>0</v>
      </c>
      <c r="AG72" s="49">
        <v>0</v>
      </c>
      <c r="AH72" s="49">
        <v>0</v>
      </c>
      <c r="AI72" s="49">
        <v>0</v>
      </c>
      <c r="AJ72" s="49">
        <v>0</v>
      </c>
      <c r="AK72" s="49">
        <v>0</v>
      </c>
      <c r="AL72" s="49">
        <v>0</v>
      </c>
      <c r="AM72" s="49">
        <v>0</v>
      </c>
      <c r="AN72" s="49">
        <v>0</v>
      </c>
      <c r="AO72" s="49">
        <v>0</v>
      </c>
      <c r="AP72" s="49">
        <v>0</v>
      </c>
      <c r="AQ72" s="49">
        <v>0</v>
      </c>
      <c r="AR72" s="49">
        <v>0</v>
      </c>
      <c r="AS72" s="49">
        <v>0</v>
      </c>
      <c r="AT72" s="49">
        <v>0</v>
      </c>
      <c r="AU72" s="49">
        <v>0</v>
      </c>
      <c r="AV72" s="49">
        <v>0</v>
      </c>
      <c r="AW72" s="49">
        <v>0</v>
      </c>
      <c r="AX72" s="49">
        <v>0</v>
      </c>
      <c r="AY72" s="49">
        <v>0</v>
      </c>
      <c r="AZ72" s="49">
        <v>0</v>
      </c>
      <c r="BA72" s="49">
        <v>0</v>
      </c>
      <c r="BB72" s="49">
        <v>0</v>
      </c>
      <c r="BC72" s="49">
        <v>0</v>
      </c>
      <c r="BD72" s="49">
        <v>0</v>
      </c>
      <c r="BE72" s="49">
        <v>0</v>
      </c>
      <c r="BF72" s="49">
        <v>0</v>
      </c>
      <c r="BG72" s="49">
        <v>0</v>
      </c>
      <c r="BH72" s="49">
        <v>0</v>
      </c>
      <c r="BI72" s="49">
        <v>0</v>
      </c>
      <c r="BJ72" s="49">
        <v>0</v>
      </c>
      <c r="BK72" s="49">
        <v>0</v>
      </c>
      <c r="BL72" s="49">
        <v>0</v>
      </c>
      <c r="BM72" s="49">
        <v>0</v>
      </c>
      <c r="BN72" s="49">
        <v>0</v>
      </c>
      <c r="BO72" s="49">
        <v>0</v>
      </c>
      <c r="BP72" s="49">
        <v>0</v>
      </c>
      <c r="BQ72" s="49">
        <v>0</v>
      </c>
      <c r="BR72" s="49">
        <v>0</v>
      </c>
      <c r="BS72" s="49">
        <v>0</v>
      </c>
      <c r="BT72" s="49">
        <v>0</v>
      </c>
      <c r="BU72" s="49">
        <v>0</v>
      </c>
      <c r="BV72" s="49">
        <v>0</v>
      </c>
      <c r="BW72" s="49">
        <v>0</v>
      </c>
      <c r="BX72" s="49">
        <v>0</v>
      </c>
      <c r="BY72" s="49">
        <v>0</v>
      </c>
      <c r="BZ72" s="49">
        <v>0</v>
      </c>
      <c r="CA72" s="49">
        <v>0</v>
      </c>
      <c r="CB72" s="49">
        <v>0</v>
      </c>
      <c r="CC72" s="49">
        <v>0</v>
      </c>
      <c r="CD72" s="49">
        <v>0</v>
      </c>
      <c r="CE72" s="49">
        <v>0</v>
      </c>
      <c r="CF72" s="49">
        <v>0</v>
      </c>
      <c r="CG72" s="49">
        <v>0</v>
      </c>
      <c r="CH72" s="49">
        <v>0</v>
      </c>
      <c r="CI72" s="49">
        <v>0</v>
      </c>
      <c r="CJ72" s="49">
        <v>0</v>
      </c>
      <c r="CK72" s="49">
        <v>0</v>
      </c>
      <c r="CL72"/>
      <c r="CN72" s="29"/>
      <c r="CO72" s="37"/>
    </row>
    <row r="73" spans="1:93" ht="15" x14ac:dyDescent="0.25">
      <c r="A73" s="34"/>
      <c r="B73" s="30"/>
      <c r="C73" s="58" t="s">
        <v>250</v>
      </c>
      <c r="D73" s="59" t="s">
        <v>260</v>
      </c>
      <c r="E73" s="54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0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49">
        <v>0</v>
      </c>
      <c r="BW73" s="49">
        <v>0</v>
      </c>
      <c r="BX73" s="49">
        <v>0</v>
      </c>
      <c r="BY73" s="49">
        <v>0</v>
      </c>
      <c r="BZ73" s="49">
        <v>0</v>
      </c>
      <c r="CA73" s="49">
        <v>0</v>
      </c>
      <c r="CB73" s="49">
        <v>0</v>
      </c>
      <c r="CC73" s="49">
        <v>0</v>
      </c>
      <c r="CD73" s="49">
        <v>0</v>
      </c>
      <c r="CE73" s="49">
        <v>0</v>
      </c>
      <c r="CF73" s="49">
        <v>0</v>
      </c>
      <c r="CG73" s="49">
        <v>0</v>
      </c>
      <c r="CH73" s="49">
        <v>0</v>
      </c>
      <c r="CI73" s="49">
        <v>0</v>
      </c>
      <c r="CJ73" s="49">
        <v>0</v>
      </c>
      <c r="CK73" s="49">
        <v>0</v>
      </c>
      <c r="CL73"/>
      <c r="CN73" s="29"/>
      <c r="CO73" s="37"/>
    </row>
    <row r="74" spans="1:93" ht="15" x14ac:dyDescent="0.25">
      <c r="A74" s="34"/>
      <c r="B74" s="30"/>
      <c r="C74" s="58" t="s">
        <v>251</v>
      </c>
      <c r="D74" s="59" t="s">
        <v>260</v>
      </c>
      <c r="E74" s="54">
        <v>0</v>
      </c>
      <c r="F74" s="49">
        <v>0</v>
      </c>
      <c r="G74" s="49">
        <v>0</v>
      </c>
      <c r="H74" s="49">
        <v>0</v>
      </c>
      <c r="I74" s="49">
        <v>0</v>
      </c>
      <c r="J74" s="49">
        <v>0</v>
      </c>
      <c r="K74" s="49">
        <v>0</v>
      </c>
      <c r="L74" s="49">
        <v>0</v>
      </c>
      <c r="M74" s="49">
        <v>0</v>
      </c>
      <c r="N74" s="49">
        <v>0</v>
      </c>
      <c r="O74" s="49">
        <v>0</v>
      </c>
      <c r="P74" s="49">
        <v>0</v>
      </c>
      <c r="Q74" s="49">
        <v>0</v>
      </c>
      <c r="R74" s="49">
        <v>0</v>
      </c>
      <c r="S74" s="49">
        <v>0</v>
      </c>
      <c r="T74" s="49">
        <v>0</v>
      </c>
      <c r="U74" s="49">
        <v>0</v>
      </c>
      <c r="V74" s="49">
        <v>0</v>
      </c>
      <c r="W74" s="49">
        <v>0</v>
      </c>
      <c r="X74" s="49">
        <v>0</v>
      </c>
      <c r="Y74" s="49">
        <v>0</v>
      </c>
      <c r="Z74" s="49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0</v>
      </c>
      <c r="AF74" s="49">
        <v>0</v>
      </c>
      <c r="AG74" s="49">
        <v>0</v>
      </c>
      <c r="AH74" s="49">
        <v>0</v>
      </c>
      <c r="AI74" s="49">
        <v>0</v>
      </c>
      <c r="AJ74" s="49">
        <v>0</v>
      </c>
      <c r="AK74" s="49">
        <v>0</v>
      </c>
      <c r="AL74" s="49">
        <v>0</v>
      </c>
      <c r="AM74" s="49">
        <v>0</v>
      </c>
      <c r="AN74" s="49">
        <v>0</v>
      </c>
      <c r="AO74" s="49">
        <v>0</v>
      </c>
      <c r="AP74" s="49">
        <v>0</v>
      </c>
      <c r="AQ74" s="49">
        <v>0</v>
      </c>
      <c r="AR74" s="49">
        <v>0</v>
      </c>
      <c r="AS74" s="49">
        <v>0</v>
      </c>
      <c r="AT74" s="49">
        <v>0</v>
      </c>
      <c r="AU74" s="49">
        <v>0</v>
      </c>
      <c r="AV74" s="49">
        <v>0</v>
      </c>
      <c r="AW74" s="49">
        <v>0</v>
      </c>
      <c r="AX74" s="49">
        <v>0</v>
      </c>
      <c r="AY74" s="49">
        <v>0</v>
      </c>
      <c r="AZ74" s="49">
        <v>0</v>
      </c>
      <c r="BA74" s="49">
        <v>0</v>
      </c>
      <c r="BB74" s="49">
        <v>0</v>
      </c>
      <c r="BC74" s="49">
        <v>0</v>
      </c>
      <c r="BD74" s="49">
        <v>0</v>
      </c>
      <c r="BE74" s="49">
        <v>0</v>
      </c>
      <c r="BF74" s="49">
        <v>0</v>
      </c>
      <c r="BG74" s="49">
        <v>0</v>
      </c>
      <c r="BH74" s="49">
        <v>0</v>
      </c>
      <c r="BI74" s="49">
        <v>0</v>
      </c>
      <c r="BJ74" s="49">
        <v>0</v>
      </c>
      <c r="BK74" s="49">
        <v>0</v>
      </c>
      <c r="BL74" s="49">
        <v>0</v>
      </c>
      <c r="BM74" s="49">
        <v>0</v>
      </c>
      <c r="BN74" s="49">
        <v>0</v>
      </c>
      <c r="BO74" s="49">
        <v>0</v>
      </c>
      <c r="BP74" s="49">
        <v>0</v>
      </c>
      <c r="BQ74" s="49">
        <v>0</v>
      </c>
      <c r="BR74" s="49">
        <v>0</v>
      </c>
      <c r="BS74" s="49">
        <v>0</v>
      </c>
      <c r="BT74" s="49">
        <v>0</v>
      </c>
      <c r="BU74" s="49">
        <v>0</v>
      </c>
      <c r="BV74" s="49">
        <v>0</v>
      </c>
      <c r="BW74" s="49">
        <v>0</v>
      </c>
      <c r="BX74" s="49">
        <v>0</v>
      </c>
      <c r="BY74" s="49">
        <v>0</v>
      </c>
      <c r="BZ74" s="49">
        <v>0</v>
      </c>
      <c r="CA74" s="49">
        <v>0</v>
      </c>
      <c r="CB74" s="49">
        <v>0</v>
      </c>
      <c r="CC74" s="49">
        <v>0</v>
      </c>
      <c r="CD74" s="49">
        <v>0</v>
      </c>
      <c r="CE74" s="49">
        <v>0</v>
      </c>
      <c r="CF74" s="49">
        <v>0</v>
      </c>
      <c r="CG74" s="49">
        <v>0</v>
      </c>
      <c r="CH74" s="49">
        <v>0</v>
      </c>
      <c r="CI74" s="49">
        <v>0</v>
      </c>
      <c r="CJ74" s="49">
        <v>0</v>
      </c>
      <c r="CK74" s="49">
        <v>0</v>
      </c>
      <c r="CL74"/>
      <c r="CN74" s="29"/>
      <c r="CO74" s="37"/>
    </row>
    <row r="75" spans="1:93" ht="15" x14ac:dyDescent="0.25">
      <c r="A75" s="34"/>
      <c r="B75" s="30"/>
      <c r="C75" s="58" t="s">
        <v>252</v>
      </c>
      <c r="D75" s="59" t="s">
        <v>260</v>
      </c>
      <c r="E75" s="54">
        <v>0</v>
      </c>
      <c r="F75" s="49">
        <v>0</v>
      </c>
      <c r="G75" s="49">
        <v>0</v>
      </c>
      <c r="H75" s="49">
        <v>0</v>
      </c>
      <c r="I75" s="49">
        <v>0</v>
      </c>
      <c r="J75" s="49">
        <v>0</v>
      </c>
      <c r="K75" s="49">
        <v>0</v>
      </c>
      <c r="L75" s="49">
        <v>0</v>
      </c>
      <c r="M75" s="49">
        <v>0</v>
      </c>
      <c r="N75" s="49">
        <v>0</v>
      </c>
      <c r="O75" s="49">
        <v>0</v>
      </c>
      <c r="P75" s="49">
        <v>0</v>
      </c>
      <c r="Q75" s="49">
        <v>0</v>
      </c>
      <c r="R75" s="49">
        <v>0</v>
      </c>
      <c r="S75" s="49">
        <v>0</v>
      </c>
      <c r="T75" s="49">
        <v>0</v>
      </c>
      <c r="U75" s="49">
        <v>0</v>
      </c>
      <c r="V75" s="49">
        <v>0</v>
      </c>
      <c r="W75" s="49">
        <v>0</v>
      </c>
      <c r="X75" s="49">
        <v>0</v>
      </c>
      <c r="Y75" s="49">
        <v>0</v>
      </c>
      <c r="Z75" s="49">
        <v>0</v>
      </c>
      <c r="AA75" s="49">
        <v>0</v>
      </c>
      <c r="AB75" s="49">
        <v>0</v>
      </c>
      <c r="AC75" s="49">
        <v>0</v>
      </c>
      <c r="AD75" s="49">
        <v>0</v>
      </c>
      <c r="AE75" s="49">
        <v>0</v>
      </c>
      <c r="AF75" s="49">
        <v>0</v>
      </c>
      <c r="AG75" s="49">
        <v>0</v>
      </c>
      <c r="AH75" s="49">
        <v>0</v>
      </c>
      <c r="AI75" s="49">
        <v>0</v>
      </c>
      <c r="AJ75" s="49">
        <v>0</v>
      </c>
      <c r="AK75" s="49">
        <v>0</v>
      </c>
      <c r="AL75" s="49">
        <v>0</v>
      </c>
      <c r="AM75" s="49">
        <v>0</v>
      </c>
      <c r="AN75" s="49">
        <v>0</v>
      </c>
      <c r="AO75" s="49">
        <v>0</v>
      </c>
      <c r="AP75" s="49">
        <v>0</v>
      </c>
      <c r="AQ75" s="49">
        <v>0</v>
      </c>
      <c r="AR75" s="49">
        <v>0</v>
      </c>
      <c r="AS75" s="49">
        <v>0</v>
      </c>
      <c r="AT75" s="49">
        <v>0</v>
      </c>
      <c r="AU75" s="49">
        <v>0</v>
      </c>
      <c r="AV75" s="49">
        <v>0</v>
      </c>
      <c r="AW75" s="49">
        <v>0</v>
      </c>
      <c r="AX75" s="49">
        <v>0</v>
      </c>
      <c r="AY75" s="49">
        <v>0</v>
      </c>
      <c r="AZ75" s="49">
        <v>0</v>
      </c>
      <c r="BA75" s="49">
        <v>0</v>
      </c>
      <c r="BB75" s="49">
        <v>0</v>
      </c>
      <c r="BC75" s="49">
        <v>0</v>
      </c>
      <c r="BD75" s="49">
        <v>0</v>
      </c>
      <c r="BE75" s="49">
        <v>0</v>
      </c>
      <c r="BF75" s="49">
        <v>0</v>
      </c>
      <c r="BG75" s="49">
        <v>0</v>
      </c>
      <c r="BH75" s="49">
        <v>0</v>
      </c>
      <c r="BI75" s="49">
        <v>0</v>
      </c>
      <c r="BJ75" s="49">
        <v>0</v>
      </c>
      <c r="BK75" s="49">
        <v>0</v>
      </c>
      <c r="BL75" s="49">
        <v>0</v>
      </c>
      <c r="BM75" s="49">
        <v>0</v>
      </c>
      <c r="BN75" s="49">
        <v>0</v>
      </c>
      <c r="BO75" s="49">
        <v>0</v>
      </c>
      <c r="BP75" s="49">
        <v>0</v>
      </c>
      <c r="BQ75" s="49">
        <v>0</v>
      </c>
      <c r="BR75" s="49">
        <v>0</v>
      </c>
      <c r="BS75" s="49">
        <v>0</v>
      </c>
      <c r="BT75" s="49">
        <v>0</v>
      </c>
      <c r="BU75" s="49">
        <v>0</v>
      </c>
      <c r="BV75" s="49">
        <v>0</v>
      </c>
      <c r="BW75" s="49">
        <v>0</v>
      </c>
      <c r="BX75" s="49">
        <v>0</v>
      </c>
      <c r="BY75" s="49">
        <v>0</v>
      </c>
      <c r="BZ75" s="49">
        <v>0</v>
      </c>
      <c r="CA75" s="49">
        <v>0</v>
      </c>
      <c r="CB75" s="49">
        <v>0</v>
      </c>
      <c r="CC75" s="49">
        <v>0</v>
      </c>
      <c r="CD75" s="49">
        <v>0</v>
      </c>
      <c r="CE75" s="49">
        <v>0</v>
      </c>
      <c r="CF75" s="49">
        <v>0</v>
      </c>
      <c r="CG75" s="49">
        <v>0</v>
      </c>
      <c r="CH75" s="49">
        <v>0</v>
      </c>
      <c r="CI75" s="49">
        <v>0</v>
      </c>
      <c r="CJ75" s="49">
        <v>0</v>
      </c>
      <c r="CK75" s="49">
        <v>0</v>
      </c>
      <c r="CL75"/>
      <c r="CN75" s="29"/>
      <c r="CO75" s="37"/>
    </row>
    <row r="76" spans="1:93" ht="15" x14ac:dyDescent="0.25">
      <c r="A76" s="34"/>
      <c r="B76" s="30"/>
      <c r="C76" s="58" t="s">
        <v>253</v>
      </c>
      <c r="D76" s="59" t="s">
        <v>260</v>
      </c>
      <c r="E76" s="54">
        <v>0</v>
      </c>
      <c r="F76" s="49">
        <v>0</v>
      </c>
      <c r="G76" s="49">
        <v>0</v>
      </c>
      <c r="H76" s="49">
        <v>0</v>
      </c>
      <c r="I76" s="49">
        <v>0</v>
      </c>
      <c r="J76" s="49">
        <v>0</v>
      </c>
      <c r="K76" s="49">
        <v>0</v>
      </c>
      <c r="L76" s="49">
        <v>0</v>
      </c>
      <c r="M76" s="49">
        <v>0</v>
      </c>
      <c r="N76" s="49">
        <v>0</v>
      </c>
      <c r="O76" s="49">
        <v>0</v>
      </c>
      <c r="P76" s="49">
        <v>0</v>
      </c>
      <c r="Q76" s="49">
        <v>0</v>
      </c>
      <c r="R76" s="49">
        <v>0</v>
      </c>
      <c r="S76" s="49">
        <v>0</v>
      </c>
      <c r="T76" s="49">
        <v>0</v>
      </c>
      <c r="U76" s="49">
        <v>0</v>
      </c>
      <c r="V76" s="49">
        <v>0</v>
      </c>
      <c r="W76" s="49">
        <v>0</v>
      </c>
      <c r="X76" s="49">
        <v>0</v>
      </c>
      <c r="Y76" s="49">
        <v>0</v>
      </c>
      <c r="Z76" s="49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0</v>
      </c>
      <c r="AF76" s="49">
        <v>0</v>
      </c>
      <c r="AG76" s="49">
        <v>0</v>
      </c>
      <c r="AH76" s="49">
        <v>0</v>
      </c>
      <c r="AI76" s="49">
        <v>0</v>
      </c>
      <c r="AJ76" s="49">
        <v>0</v>
      </c>
      <c r="AK76" s="49">
        <v>0</v>
      </c>
      <c r="AL76" s="49">
        <v>0</v>
      </c>
      <c r="AM76" s="49">
        <v>0</v>
      </c>
      <c r="AN76" s="49">
        <v>0</v>
      </c>
      <c r="AO76" s="49">
        <v>0</v>
      </c>
      <c r="AP76" s="49">
        <v>0</v>
      </c>
      <c r="AQ76" s="49">
        <v>0</v>
      </c>
      <c r="AR76" s="49">
        <v>0</v>
      </c>
      <c r="AS76" s="49">
        <v>0</v>
      </c>
      <c r="AT76" s="49">
        <v>0</v>
      </c>
      <c r="AU76" s="49">
        <v>0</v>
      </c>
      <c r="AV76" s="49">
        <v>0</v>
      </c>
      <c r="AW76" s="49">
        <v>0</v>
      </c>
      <c r="AX76" s="49">
        <v>0</v>
      </c>
      <c r="AY76" s="49">
        <v>0</v>
      </c>
      <c r="AZ76" s="49">
        <v>0</v>
      </c>
      <c r="BA76" s="49">
        <v>0</v>
      </c>
      <c r="BB76" s="49">
        <v>0</v>
      </c>
      <c r="BC76" s="49">
        <v>0</v>
      </c>
      <c r="BD76" s="49">
        <v>0</v>
      </c>
      <c r="BE76" s="49">
        <v>0</v>
      </c>
      <c r="BF76" s="49">
        <v>0</v>
      </c>
      <c r="BG76" s="49">
        <v>0</v>
      </c>
      <c r="BH76" s="49">
        <v>0</v>
      </c>
      <c r="BI76" s="49">
        <v>0</v>
      </c>
      <c r="BJ76" s="49">
        <v>0</v>
      </c>
      <c r="BK76" s="49">
        <v>0</v>
      </c>
      <c r="BL76" s="49">
        <v>0</v>
      </c>
      <c r="BM76" s="49">
        <v>0</v>
      </c>
      <c r="BN76" s="49">
        <v>0</v>
      </c>
      <c r="BO76" s="49">
        <v>0</v>
      </c>
      <c r="BP76" s="49">
        <v>0</v>
      </c>
      <c r="BQ76" s="49">
        <v>0</v>
      </c>
      <c r="BR76" s="49">
        <v>0</v>
      </c>
      <c r="BS76" s="49">
        <v>0</v>
      </c>
      <c r="BT76" s="49">
        <v>0</v>
      </c>
      <c r="BU76" s="49">
        <v>0</v>
      </c>
      <c r="BV76" s="49">
        <v>0</v>
      </c>
      <c r="BW76" s="49">
        <v>0</v>
      </c>
      <c r="BX76" s="49">
        <v>0</v>
      </c>
      <c r="BY76" s="49">
        <v>0</v>
      </c>
      <c r="BZ76" s="49">
        <v>0</v>
      </c>
      <c r="CA76" s="49">
        <v>0</v>
      </c>
      <c r="CB76" s="49">
        <v>0</v>
      </c>
      <c r="CC76" s="49">
        <v>0</v>
      </c>
      <c r="CD76" s="49">
        <v>0</v>
      </c>
      <c r="CE76" s="49">
        <v>0</v>
      </c>
      <c r="CF76" s="49">
        <v>0</v>
      </c>
      <c r="CG76" s="49">
        <v>0</v>
      </c>
      <c r="CH76" s="49">
        <v>0</v>
      </c>
      <c r="CI76" s="49">
        <v>0</v>
      </c>
      <c r="CJ76" s="49">
        <v>0</v>
      </c>
      <c r="CK76" s="49">
        <v>0</v>
      </c>
      <c r="CL76"/>
      <c r="CN76" s="29"/>
      <c r="CO76" s="37"/>
    </row>
    <row r="77" spans="1:93" ht="15" x14ac:dyDescent="0.25">
      <c r="A77" s="34"/>
      <c r="B77" s="30"/>
      <c r="C77" s="58" t="s">
        <v>254</v>
      </c>
      <c r="D77" s="59" t="s">
        <v>260</v>
      </c>
      <c r="E77" s="54">
        <v>0</v>
      </c>
      <c r="F77" s="49">
        <v>0</v>
      </c>
      <c r="G77" s="49">
        <v>0</v>
      </c>
      <c r="H77" s="49">
        <v>0</v>
      </c>
      <c r="I77" s="49">
        <v>0</v>
      </c>
      <c r="J77" s="49">
        <v>0</v>
      </c>
      <c r="K77" s="49">
        <v>0</v>
      </c>
      <c r="L77" s="49">
        <v>0</v>
      </c>
      <c r="M77" s="49">
        <v>0</v>
      </c>
      <c r="N77" s="49">
        <v>0</v>
      </c>
      <c r="O77" s="49">
        <v>0</v>
      </c>
      <c r="P77" s="49">
        <v>0</v>
      </c>
      <c r="Q77" s="49">
        <v>0</v>
      </c>
      <c r="R77" s="49">
        <v>0</v>
      </c>
      <c r="S77" s="49">
        <v>0</v>
      </c>
      <c r="T77" s="49">
        <v>0</v>
      </c>
      <c r="U77" s="49">
        <v>0</v>
      </c>
      <c r="V77" s="49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0</v>
      </c>
      <c r="AF77" s="49">
        <v>0</v>
      </c>
      <c r="AG77" s="49">
        <v>0</v>
      </c>
      <c r="AH77" s="49">
        <v>0</v>
      </c>
      <c r="AI77" s="49">
        <v>0</v>
      </c>
      <c r="AJ77" s="49">
        <v>0</v>
      </c>
      <c r="AK77" s="49">
        <v>0</v>
      </c>
      <c r="AL77" s="49">
        <v>0</v>
      </c>
      <c r="AM77" s="49">
        <v>0</v>
      </c>
      <c r="AN77" s="49">
        <v>0</v>
      </c>
      <c r="AO77" s="49">
        <v>0</v>
      </c>
      <c r="AP77" s="49">
        <v>0</v>
      </c>
      <c r="AQ77" s="49">
        <v>0</v>
      </c>
      <c r="AR77" s="49">
        <v>0</v>
      </c>
      <c r="AS77" s="49">
        <v>0</v>
      </c>
      <c r="AT77" s="49">
        <v>0</v>
      </c>
      <c r="AU77" s="49">
        <v>0</v>
      </c>
      <c r="AV77" s="49">
        <v>0</v>
      </c>
      <c r="AW77" s="49">
        <v>0</v>
      </c>
      <c r="AX77" s="49">
        <v>0</v>
      </c>
      <c r="AY77" s="49">
        <v>0</v>
      </c>
      <c r="AZ77" s="49">
        <v>0</v>
      </c>
      <c r="BA77" s="49">
        <v>0</v>
      </c>
      <c r="BB77" s="49">
        <v>0</v>
      </c>
      <c r="BC77" s="49">
        <v>0</v>
      </c>
      <c r="BD77" s="49">
        <v>0</v>
      </c>
      <c r="BE77" s="49">
        <v>0</v>
      </c>
      <c r="BF77" s="49">
        <v>0</v>
      </c>
      <c r="BG77" s="49">
        <v>0</v>
      </c>
      <c r="BH77" s="49">
        <v>0</v>
      </c>
      <c r="BI77" s="49">
        <v>0</v>
      </c>
      <c r="BJ77" s="49">
        <v>0</v>
      </c>
      <c r="BK77" s="49">
        <v>0</v>
      </c>
      <c r="BL77" s="49">
        <v>0</v>
      </c>
      <c r="BM77" s="49">
        <v>0</v>
      </c>
      <c r="BN77" s="49">
        <v>0</v>
      </c>
      <c r="BO77" s="49">
        <v>0</v>
      </c>
      <c r="BP77" s="49">
        <v>0</v>
      </c>
      <c r="BQ77" s="49">
        <v>0</v>
      </c>
      <c r="BR77" s="49">
        <v>0</v>
      </c>
      <c r="BS77" s="49">
        <v>0</v>
      </c>
      <c r="BT77" s="49">
        <v>0</v>
      </c>
      <c r="BU77" s="49">
        <v>0</v>
      </c>
      <c r="BV77" s="49">
        <v>0</v>
      </c>
      <c r="BW77" s="49">
        <v>0</v>
      </c>
      <c r="BX77" s="49">
        <v>0</v>
      </c>
      <c r="BY77" s="49">
        <v>0</v>
      </c>
      <c r="BZ77" s="49">
        <v>0</v>
      </c>
      <c r="CA77" s="49">
        <v>0</v>
      </c>
      <c r="CB77" s="49">
        <v>0</v>
      </c>
      <c r="CC77" s="49">
        <v>0</v>
      </c>
      <c r="CD77" s="49">
        <v>0</v>
      </c>
      <c r="CE77" s="49">
        <v>0</v>
      </c>
      <c r="CF77" s="49">
        <v>0</v>
      </c>
      <c r="CG77" s="49">
        <v>0</v>
      </c>
      <c r="CH77" s="49">
        <v>0</v>
      </c>
      <c r="CI77" s="49">
        <v>0</v>
      </c>
      <c r="CJ77" s="49">
        <v>0</v>
      </c>
      <c r="CK77" s="49">
        <v>0</v>
      </c>
      <c r="CL77"/>
      <c r="CN77" s="29"/>
      <c r="CO77" s="37"/>
    </row>
    <row r="78" spans="1:93" ht="15" x14ac:dyDescent="0.25">
      <c r="A78" s="34"/>
      <c r="B78" s="30"/>
      <c r="C78" s="58" t="s">
        <v>255</v>
      </c>
      <c r="D78" s="59" t="s">
        <v>260</v>
      </c>
      <c r="E78" s="54">
        <v>0</v>
      </c>
      <c r="F78" s="49">
        <v>0</v>
      </c>
      <c r="G78" s="49">
        <v>0</v>
      </c>
      <c r="H78" s="49">
        <v>0</v>
      </c>
      <c r="I78" s="49">
        <v>0</v>
      </c>
      <c r="J78" s="49">
        <v>0</v>
      </c>
      <c r="K78" s="49">
        <v>0</v>
      </c>
      <c r="L78" s="49">
        <v>0</v>
      </c>
      <c r="M78" s="49">
        <v>0</v>
      </c>
      <c r="N78" s="49">
        <v>0</v>
      </c>
      <c r="O78" s="49">
        <v>0</v>
      </c>
      <c r="P78" s="49">
        <v>0</v>
      </c>
      <c r="Q78" s="49">
        <v>0</v>
      </c>
      <c r="R78" s="49">
        <v>0</v>
      </c>
      <c r="S78" s="49">
        <v>0</v>
      </c>
      <c r="T78" s="49">
        <v>0</v>
      </c>
      <c r="U78" s="49">
        <v>0</v>
      </c>
      <c r="V78" s="49">
        <v>0</v>
      </c>
      <c r="W78" s="49">
        <v>0</v>
      </c>
      <c r="X78" s="49">
        <v>0</v>
      </c>
      <c r="Y78" s="49">
        <v>0</v>
      </c>
      <c r="Z78" s="49">
        <v>0</v>
      </c>
      <c r="AA78" s="49">
        <v>0</v>
      </c>
      <c r="AB78" s="49">
        <v>0</v>
      </c>
      <c r="AC78" s="49">
        <v>0</v>
      </c>
      <c r="AD78" s="49">
        <v>0</v>
      </c>
      <c r="AE78" s="49">
        <v>0</v>
      </c>
      <c r="AF78" s="49">
        <v>0</v>
      </c>
      <c r="AG78" s="49">
        <v>0</v>
      </c>
      <c r="AH78" s="49">
        <v>0</v>
      </c>
      <c r="AI78" s="49">
        <v>0</v>
      </c>
      <c r="AJ78" s="49">
        <v>0</v>
      </c>
      <c r="AK78" s="49">
        <v>0</v>
      </c>
      <c r="AL78" s="49">
        <v>0</v>
      </c>
      <c r="AM78" s="49">
        <v>0</v>
      </c>
      <c r="AN78" s="49">
        <v>0</v>
      </c>
      <c r="AO78" s="49">
        <v>0</v>
      </c>
      <c r="AP78" s="49">
        <v>0</v>
      </c>
      <c r="AQ78" s="49">
        <v>0</v>
      </c>
      <c r="AR78" s="49">
        <v>0</v>
      </c>
      <c r="AS78" s="49">
        <v>0</v>
      </c>
      <c r="AT78" s="49">
        <v>0</v>
      </c>
      <c r="AU78" s="49">
        <v>0</v>
      </c>
      <c r="AV78" s="49">
        <v>0</v>
      </c>
      <c r="AW78" s="49">
        <v>0</v>
      </c>
      <c r="AX78" s="49">
        <v>0</v>
      </c>
      <c r="AY78" s="49">
        <v>0</v>
      </c>
      <c r="AZ78" s="49">
        <v>0</v>
      </c>
      <c r="BA78" s="49">
        <v>0</v>
      </c>
      <c r="BB78" s="49">
        <v>0</v>
      </c>
      <c r="BC78" s="49">
        <v>0</v>
      </c>
      <c r="BD78" s="49">
        <v>0</v>
      </c>
      <c r="BE78" s="49">
        <v>0</v>
      </c>
      <c r="BF78" s="49">
        <v>0</v>
      </c>
      <c r="BG78" s="49">
        <v>0</v>
      </c>
      <c r="BH78" s="49">
        <v>0</v>
      </c>
      <c r="BI78" s="49">
        <v>0</v>
      </c>
      <c r="BJ78" s="49">
        <v>0</v>
      </c>
      <c r="BK78" s="49">
        <v>0</v>
      </c>
      <c r="BL78" s="49">
        <v>0</v>
      </c>
      <c r="BM78" s="49">
        <v>0</v>
      </c>
      <c r="BN78" s="49">
        <v>0</v>
      </c>
      <c r="BO78" s="49">
        <v>0</v>
      </c>
      <c r="BP78" s="49">
        <v>0</v>
      </c>
      <c r="BQ78" s="49">
        <v>0</v>
      </c>
      <c r="BR78" s="49">
        <v>0</v>
      </c>
      <c r="BS78" s="49">
        <v>0</v>
      </c>
      <c r="BT78" s="49">
        <v>0</v>
      </c>
      <c r="BU78" s="49">
        <v>0</v>
      </c>
      <c r="BV78" s="49">
        <v>0</v>
      </c>
      <c r="BW78" s="49">
        <v>0</v>
      </c>
      <c r="BX78" s="49">
        <v>0</v>
      </c>
      <c r="BY78" s="49">
        <v>0</v>
      </c>
      <c r="BZ78" s="49">
        <v>0</v>
      </c>
      <c r="CA78" s="49">
        <v>0</v>
      </c>
      <c r="CB78" s="49">
        <v>0</v>
      </c>
      <c r="CC78" s="49">
        <v>0</v>
      </c>
      <c r="CD78" s="49">
        <v>0</v>
      </c>
      <c r="CE78" s="49">
        <v>0</v>
      </c>
      <c r="CF78" s="49">
        <v>0</v>
      </c>
      <c r="CG78" s="49">
        <v>0</v>
      </c>
      <c r="CH78" s="49">
        <v>0</v>
      </c>
      <c r="CI78" s="49">
        <v>0</v>
      </c>
      <c r="CJ78" s="49">
        <v>0</v>
      </c>
      <c r="CK78" s="49">
        <v>0</v>
      </c>
      <c r="CL78"/>
      <c r="CN78" s="29"/>
      <c r="CO78" s="37"/>
    </row>
    <row r="79" spans="1:93" ht="15" x14ac:dyDescent="0.25">
      <c r="A79" s="34"/>
      <c r="B79" s="30"/>
      <c r="C79" s="58" t="s">
        <v>256</v>
      </c>
      <c r="D79" s="59" t="s">
        <v>260</v>
      </c>
      <c r="E79" s="54">
        <v>0</v>
      </c>
      <c r="F79" s="49">
        <v>0</v>
      </c>
      <c r="G79" s="49">
        <v>0</v>
      </c>
      <c r="H79" s="49">
        <v>0</v>
      </c>
      <c r="I79" s="49">
        <v>0</v>
      </c>
      <c r="J79" s="49">
        <v>0</v>
      </c>
      <c r="K79" s="49">
        <v>0</v>
      </c>
      <c r="L79" s="49">
        <v>0</v>
      </c>
      <c r="M79" s="49">
        <v>0</v>
      </c>
      <c r="N79" s="49">
        <v>0</v>
      </c>
      <c r="O79" s="49">
        <v>0</v>
      </c>
      <c r="P79" s="49">
        <v>0</v>
      </c>
      <c r="Q79" s="49">
        <v>0</v>
      </c>
      <c r="R79" s="49">
        <v>0</v>
      </c>
      <c r="S79" s="49">
        <v>0</v>
      </c>
      <c r="T79" s="49">
        <v>0</v>
      </c>
      <c r="U79" s="49">
        <v>0</v>
      </c>
      <c r="V79" s="49">
        <v>0</v>
      </c>
      <c r="W79" s="49">
        <v>0</v>
      </c>
      <c r="X79" s="49">
        <v>0</v>
      </c>
      <c r="Y79" s="49">
        <v>0</v>
      </c>
      <c r="Z79" s="49">
        <v>0</v>
      </c>
      <c r="AA79" s="49">
        <v>0</v>
      </c>
      <c r="AB79" s="49">
        <v>0</v>
      </c>
      <c r="AC79" s="49">
        <v>0</v>
      </c>
      <c r="AD79" s="49">
        <v>0</v>
      </c>
      <c r="AE79" s="49">
        <v>0</v>
      </c>
      <c r="AF79" s="49">
        <v>0</v>
      </c>
      <c r="AG79" s="49">
        <v>0</v>
      </c>
      <c r="AH79" s="49">
        <v>0</v>
      </c>
      <c r="AI79" s="49">
        <v>0</v>
      </c>
      <c r="AJ79" s="49">
        <v>0</v>
      </c>
      <c r="AK79" s="49">
        <v>0</v>
      </c>
      <c r="AL79" s="49">
        <v>0</v>
      </c>
      <c r="AM79" s="49">
        <v>0</v>
      </c>
      <c r="AN79" s="49">
        <v>0</v>
      </c>
      <c r="AO79" s="49">
        <v>0</v>
      </c>
      <c r="AP79" s="49">
        <v>0</v>
      </c>
      <c r="AQ79" s="49">
        <v>0</v>
      </c>
      <c r="AR79" s="49">
        <v>0</v>
      </c>
      <c r="AS79" s="49">
        <v>0</v>
      </c>
      <c r="AT79" s="49">
        <v>0</v>
      </c>
      <c r="AU79" s="49">
        <v>0</v>
      </c>
      <c r="AV79" s="49">
        <v>0</v>
      </c>
      <c r="AW79" s="49">
        <v>0</v>
      </c>
      <c r="AX79" s="49">
        <v>0</v>
      </c>
      <c r="AY79" s="49">
        <v>0</v>
      </c>
      <c r="AZ79" s="49">
        <v>0</v>
      </c>
      <c r="BA79" s="49">
        <v>0</v>
      </c>
      <c r="BB79" s="49">
        <v>0</v>
      </c>
      <c r="BC79" s="49">
        <v>0</v>
      </c>
      <c r="BD79" s="49">
        <v>0</v>
      </c>
      <c r="BE79" s="49">
        <v>0</v>
      </c>
      <c r="BF79" s="49">
        <v>0</v>
      </c>
      <c r="BG79" s="49">
        <v>0</v>
      </c>
      <c r="BH79" s="49">
        <v>0</v>
      </c>
      <c r="BI79" s="49">
        <v>0</v>
      </c>
      <c r="BJ79" s="49">
        <v>0</v>
      </c>
      <c r="BK79" s="49">
        <v>0</v>
      </c>
      <c r="BL79" s="49">
        <v>0</v>
      </c>
      <c r="BM79" s="49">
        <v>0</v>
      </c>
      <c r="BN79" s="49">
        <v>0</v>
      </c>
      <c r="BO79" s="49">
        <v>0</v>
      </c>
      <c r="BP79" s="49">
        <v>0</v>
      </c>
      <c r="BQ79" s="49">
        <v>0</v>
      </c>
      <c r="BR79" s="49">
        <v>0</v>
      </c>
      <c r="BS79" s="49">
        <v>0</v>
      </c>
      <c r="BT79" s="49">
        <v>0</v>
      </c>
      <c r="BU79" s="49">
        <v>0</v>
      </c>
      <c r="BV79" s="49">
        <v>0</v>
      </c>
      <c r="BW79" s="49">
        <v>0</v>
      </c>
      <c r="BX79" s="49">
        <v>0</v>
      </c>
      <c r="BY79" s="49">
        <v>0</v>
      </c>
      <c r="BZ79" s="49">
        <v>0</v>
      </c>
      <c r="CA79" s="49">
        <v>0</v>
      </c>
      <c r="CB79" s="49">
        <v>0</v>
      </c>
      <c r="CC79" s="49">
        <v>0</v>
      </c>
      <c r="CD79" s="49">
        <v>0</v>
      </c>
      <c r="CE79" s="49">
        <v>0</v>
      </c>
      <c r="CF79" s="49">
        <v>0</v>
      </c>
      <c r="CG79" s="49">
        <v>0</v>
      </c>
      <c r="CH79" s="49">
        <v>0</v>
      </c>
      <c r="CI79" s="49">
        <v>0</v>
      </c>
      <c r="CJ79" s="49">
        <v>0</v>
      </c>
      <c r="CK79" s="49">
        <v>0</v>
      </c>
      <c r="CL79"/>
      <c r="CN79" s="29"/>
      <c r="CO79" s="37"/>
    </row>
    <row r="80" spans="1:93" ht="15" x14ac:dyDescent="0.25">
      <c r="A80" s="34"/>
      <c r="B80" s="30"/>
      <c r="C80" s="58" t="s">
        <v>257</v>
      </c>
      <c r="D80" s="59" t="s">
        <v>260</v>
      </c>
      <c r="E80" s="54">
        <v>0</v>
      </c>
      <c r="F80" s="49">
        <v>0</v>
      </c>
      <c r="G80" s="49">
        <v>0</v>
      </c>
      <c r="H80" s="49">
        <v>0</v>
      </c>
      <c r="I80" s="49">
        <v>0</v>
      </c>
      <c r="J80" s="49">
        <v>0</v>
      </c>
      <c r="K80" s="49">
        <v>0</v>
      </c>
      <c r="L80" s="49">
        <v>0</v>
      </c>
      <c r="M80" s="49">
        <v>0</v>
      </c>
      <c r="N80" s="49">
        <v>0</v>
      </c>
      <c r="O80" s="49">
        <v>0</v>
      </c>
      <c r="P80" s="49">
        <v>0</v>
      </c>
      <c r="Q80" s="49">
        <v>0</v>
      </c>
      <c r="R80" s="49">
        <v>0</v>
      </c>
      <c r="S80" s="49">
        <v>0</v>
      </c>
      <c r="T80" s="49">
        <v>0</v>
      </c>
      <c r="U80" s="49">
        <v>0</v>
      </c>
      <c r="V80" s="49">
        <v>0</v>
      </c>
      <c r="W80" s="49">
        <v>0</v>
      </c>
      <c r="X80" s="49">
        <v>0</v>
      </c>
      <c r="Y80" s="49">
        <v>0</v>
      </c>
      <c r="Z80" s="49">
        <v>0</v>
      </c>
      <c r="AA80" s="49">
        <v>0</v>
      </c>
      <c r="AB80" s="49">
        <v>0</v>
      </c>
      <c r="AC80" s="49">
        <v>0</v>
      </c>
      <c r="AD80" s="49">
        <v>0</v>
      </c>
      <c r="AE80" s="49">
        <v>0</v>
      </c>
      <c r="AF80" s="49">
        <v>0</v>
      </c>
      <c r="AG80" s="49">
        <v>0</v>
      </c>
      <c r="AH80" s="49">
        <v>0</v>
      </c>
      <c r="AI80" s="49">
        <v>0</v>
      </c>
      <c r="AJ80" s="49">
        <v>0</v>
      </c>
      <c r="AK80" s="49">
        <v>0</v>
      </c>
      <c r="AL80" s="49">
        <v>0</v>
      </c>
      <c r="AM80" s="49">
        <v>0</v>
      </c>
      <c r="AN80" s="49">
        <v>0</v>
      </c>
      <c r="AO80" s="49">
        <v>0</v>
      </c>
      <c r="AP80" s="49">
        <v>0</v>
      </c>
      <c r="AQ80" s="49">
        <v>0</v>
      </c>
      <c r="AR80" s="49">
        <v>0</v>
      </c>
      <c r="AS80" s="49">
        <v>0</v>
      </c>
      <c r="AT80" s="49">
        <v>0</v>
      </c>
      <c r="AU80" s="49">
        <v>0</v>
      </c>
      <c r="AV80" s="49">
        <v>0</v>
      </c>
      <c r="AW80" s="49">
        <v>0</v>
      </c>
      <c r="AX80" s="49">
        <v>0</v>
      </c>
      <c r="AY80" s="49">
        <v>0</v>
      </c>
      <c r="AZ80" s="49">
        <v>0</v>
      </c>
      <c r="BA80" s="49">
        <v>0</v>
      </c>
      <c r="BB80" s="49">
        <v>0</v>
      </c>
      <c r="BC80" s="49">
        <v>0</v>
      </c>
      <c r="BD80" s="49">
        <v>0</v>
      </c>
      <c r="BE80" s="49">
        <v>0</v>
      </c>
      <c r="BF80" s="49">
        <v>0</v>
      </c>
      <c r="BG80" s="49">
        <v>0</v>
      </c>
      <c r="BH80" s="49">
        <v>0</v>
      </c>
      <c r="BI80" s="49">
        <v>0</v>
      </c>
      <c r="BJ80" s="49">
        <v>0</v>
      </c>
      <c r="BK80" s="49">
        <v>0</v>
      </c>
      <c r="BL80" s="49">
        <v>0</v>
      </c>
      <c r="BM80" s="49">
        <v>0</v>
      </c>
      <c r="BN80" s="49">
        <v>0</v>
      </c>
      <c r="BO80" s="49">
        <v>0</v>
      </c>
      <c r="BP80" s="49">
        <v>0</v>
      </c>
      <c r="BQ80" s="49">
        <v>0</v>
      </c>
      <c r="BR80" s="49">
        <v>0</v>
      </c>
      <c r="BS80" s="49">
        <v>0</v>
      </c>
      <c r="BT80" s="49">
        <v>0</v>
      </c>
      <c r="BU80" s="49">
        <v>0</v>
      </c>
      <c r="BV80" s="49">
        <v>0</v>
      </c>
      <c r="BW80" s="49">
        <v>0</v>
      </c>
      <c r="BX80" s="49">
        <v>0</v>
      </c>
      <c r="BY80" s="49">
        <v>0</v>
      </c>
      <c r="BZ80" s="49">
        <v>0</v>
      </c>
      <c r="CA80" s="49">
        <v>0</v>
      </c>
      <c r="CB80" s="49">
        <v>0</v>
      </c>
      <c r="CC80" s="49">
        <v>0</v>
      </c>
      <c r="CD80" s="49">
        <v>0</v>
      </c>
      <c r="CE80" s="49">
        <v>0</v>
      </c>
      <c r="CF80" s="49">
        <v>0</v>
      </c>
      <c r="CG80" s="49">
        <v>0</v>
      </c>
      <c r="CH80" s="49">
        <v>0</v>
      </c>
      <c r="CI80" s="49">
        <v>0</v>
      </c>
      <c r="CJ80" s="49">
        <v>0</v>
      </c>
      <c r="CK80" s="49">
        <v>0</v>
      </c>
      <c r="CL80"/>
      <c r="CN80" s="29"/>
      <c r="CO80" s="37"/>
    </row>
    <row r="81" spans="1:93" ht="15" x14ac:dyDescent="0.25">
      <c r="A81" s="34"/>
      <c r="B81" s="30"/>
      <c r="C81" s="58" t="s">
        <v>258</v>
      </c>
      <c r="D81" s="59" t="s">
        <v>260</v>
      </c>
      <c r="E81" s="54">
        <v>0</v>
      </c>
      <c r="F81" s="49">
        <v>0</v>
      </c>
      <c r="G81" s="49">
        <v>0</v>
      </c>
      <c r="H81" s="49">
        <v>0</v>
      </c>
      <c r="I81" s="49">
        <v>0</v>
      </c>
      <c r="J81" s="49">
        <v>0</v>
      </c>
      <c r="K81" s="49">
        <v>0</v>
      </c>
      <c r="L81" s="49">
        <v>0</v>
      </c>
      <c r="M81" s="49">
        <v>0</v>
      </c>
      <c r="N81" s="49">
        <v>0</v>
      </c>
      <c r="O81" s="49">
        <v>0</v>
      </c>
      <c r="P81" s="49">
        <v>0</v>
      </c>
      <c r="Q81" s="49">
        <v>0</v>
      </c>
      <c r="R81" s="49">
        <v>0</v>
      </c>
      <c r="S81" s="49">
        <v>0</v>
      </c>
      <c r="T81" s="49">
        <v>0</v>
      </c>
      <c r="U81" s="49">
        <v>0</v>
      </c>
      <c r="V81" s="49">
        <v>0</v>
      </c>
      <c r="W81" s="49">
        <v>0</v>
      </c>
      <c r="X81" s="49">
        <v>0</v>
      </c>
      <c r="Y81" s="49">
        <v>0</v>
      </c>
      <c r="Z81" s="49">
        <v>0</v>
      </c>
      <c r="AA81" s="49">
        <v>0</v>
      </c>
      <c r="AB81" s="49">
        <v>0</v>
      </c>
      <c r="AC81" s="49">
        <v>0</v>
      </c>
      <c r="AD81" s="49">
        <v>0</v>
      </c>
      <c r="AE81" s="49">
        <v>0</v>
      </c>
      <c r="AF81" s="49">
        <v>0</v>
      </c>
      <c r="AG81" s="49">
        <v>0</v>
      </c>
      <c r="AH81" s="49">
        <v>0</v>
      </c>
      <c r="AI81" s="49">
        <v>0</v>
      </c>
      <c r="AJ81" s="49">
        <v>0</v>
      </c>
      <c r="AK81" s="49">
        <v>0</v>
      </c>
      <c r="AL81" s="49">
        <v>0</v>
      </c>
      <c r="AM81" s="49">
        <v>0</v>
      </c>
      <c r="AN81" s="49">
        <v>0</v>
      </c>
      <c r="AO81" s="49">
        <v>0</v>
      </c>
      <c r="AP81" s="49">
        <v>0</v>
      </c>
      <c r="AQ81" s="49">
        <v>0</v>
      </c>
      <c r="AR81" s="49">
        <v>0</v>
      </c>
      <c r="AS81" s="49">
        <v>0</v>
      </c>
      <c r="AT81" s="49">
        <v>0</v>
      </c>
      <c r="AU81" s="49">
        <v>0</v>
      </c>
      <c r="AV81" s="49">
        <v>0</v>
      </c>
      <c r="AW81" s="49">
        <v>0</v>
      </c>
      <c r="AX81" s="49">
        <v>0</v>
      </c>
      <c r="AY81" s="49">
        <v>0</v>
      </c>
      <c r="AZ81" s="49">
        <v>0</v>
      </c>
      <c r="BA81" s="49">
        <v>0</v>
      </c>
      <c r="BB81" s="49">
        <v>0</v>
      </c>
      <c r="BC81" s="49">
        <v>0</v>
      </c>
      <c r="BD81" s="49">
        <v>0</v>
      </c>
      <c r="BE81" s="49">
        <v>0</v>
      </c>
      <c r="BF81" s="49">
        <v>0</v>
      </c>
      <c r="BG81" s="49">
        <v>0</v>
      </c>
      <c r="BH81" s="49">
        <v>0</v>
      </c>
      <c r="BI81" s="49">
        <v>0</v>
      </c>
      <c r="BJ81" s="49">
        <v>0</v>
      </c>
      <c r="BK81" s="49">
        <v>0</v>
      </c>
      <c r="BL81" s="49">
        <v>0</v>
      </c>
      <c r="BM81" s="49">
        <v>0</v>
      </c>
      <c r="BN81" s="49">
        <v>0</v>
      </c>
      <c r="BO81" s="49">
        <v>0</v>
      </c>
      <c r="BP81" s="49">
        <v>0</v>
      </c>
      <c r="BQ81" s="49">
        <v>0</v>
      </c>
      <c r="BR81" s="49">
        <v>0</v>
      </c>
      <c r="BS81" s="49">
        <v>0</v>
      </c>
      <c r="BT81" s="49">
        <v>0</v>
      </c>
      <c r="BU81" s="49">
        <v>0</v>
      </c>
      <c r="BV81" s="49">
        <v>0</v>
      </c>
      <c r="BW81" s="49">
        <v>0</v>
      </c>
      <c r="BX81" s="49">
        <v>0</v>
      </c>
      <c r="BY81" s="49">
        <v>0</v>
      </c>
      <c r="BZ81" s="49">
        <v>0</v>
      </c>
      <c r="CA81" s="49">
        <v>0</v>
      </c>
      <c r="CB81" s="49">
        <v>0</v>
      </c>
      <c r="CC81" s="49">
        <v>0</v>
      </c>
      <c r="CD81" s="49">
        <v>0</v>
      </c>
      <c r="CE81" s="49">
        <v>0</v>
      </c>
      <c r="CF81" s="49">
        <v>0</v>
      </c>
      <c r="CG81" s="49">
        <v>0</v>
      </c>
      <c r="CH81" s="49">
        <v>0</v>
      </c>
      <c r="CI81" s="49">
        <v>0</v>
      </c>
      <c r="CJ81" s="49">
        <v>0</v>
      </c>
      <c r="CK81" s="49">
        <v>0</v>
      </c>
      <c r="CL81"/>
      <c r="CN81" s="29"/>
      <c r="CO81" s="37"/>
    </row>
    <row r="82" spans="1:93" ht="15.75" thickBot="1" x14ac:dyDescent="0.3">
      <c r="A82" s="34"/>
      <c r="B82" s="30"/>
      <c r="C82" s="60" t="s">
        <v>259</v>
      </c>
      <c r="D82" s="61" t="s">
        <v>260</v>
      </c>
      <c r="E82" s="55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50">
        <v>0</v>
      </c>
      <c r="L82" s="50">
        <v>0</v>
      </c>
      <c r="M82" s="50">
        <v>0</v>
      </c>
      <c r="N82" s="50">
        <v>0</v>
      </c>
      <c r="O82" s="50">
        <v>0</v>
      </c>
      <c r="P82" s="50">
        <v>0</v>
      </c>
      <c r="Q82" s="50">
        <v>0</v>
      </c>
      <c r="R82" s="50">
        <v>0</v>
      </c>
      <c r="S82" s="50">
        <v>0</v>
      </c>
      <c r="T82" s="50">
        <v>0</v>
      </c>
      <c r="U82" s="50">
        <v>0</v>
      </c>
      <c r="V82" s="50">
        <v>0</v>
      </c>
      <c r="W82" s="50">
        <v>0</v>
      </c>
      <c r="X82" s="50">
        <v>0</v>
      </c>
      <c r="Y82" s="50">
        <v>0</v>
      </c>
      <c r="Z82" s="50">
        <v>0</v>
      </c>
      <c r="AA82" s="50">
        <v>0</v>
      </c>
      <c r="AB82" s="50">
        <v>0</v>
      </c>
      <c r="AC82" s="50">
        <v>0</v>
      </c>
      <c r="AD82" s="50">
        <v>0</v>
      </c>
      <c r="AE82" s="50">
        <v>0</v>
      </c>
      <c r="AF82" s="50">
        <v>0</v>
      </c>
      <c r="AG82" s="50">
        <v>0</v>
      </c>
      <c r="AH82" s="50">
        <v>0</v>
      </c>
      <c r="AI82" s="50">
        <v>0</v>
      </c>
      <c r="AJ82" s="50">
        <v>0</v>
      </c>
      <c r="AK82" s="50">
        <v>0</v>
      </c>
      <c r="AL82" s="50">
        <v>0</v>
      </c>
      <c r="AM82" s="50">
        <v>0</v>
      </c>
      <c r="AN82" s="50">
        <v>0</v>
      </c>
      <c r="AO82" s="50">
        <v>0</v>
      </c>
      <c r="AP82" s="50">
        <v>0</v>
      </c>
      <c r="AQ82" s="50">
        <v>0</v>
      </c>
      <c r="AR82" s="50">
        <v>0</v>
      </c>
      <c r="AS82" s="50">
        <v>0</v>
      </c>
      <c r="AT82" s="50">
        <v>0</v>
      </c>
      <c r="AU82" s="50">
        <v>0</v>
      </c>
      <c r="AV82" s="50">
        <v>0</v>
      </c>
      <c r="AW82" s="50">
        <v>0</v>
      </c>
      <c r="AX82" s="50">
        <v>0</v>
      </c>
      <c r="AY82" s="50">
        <v>0</v>
      </c>
      <c r="AZ82" s="50">
        <v>0</v>
      </c>
      <c r="BA82" s="50">
        <v>0</v>
      </c>
      <c r="BB82" s="50">
        <v>0</v>
      </c>
      <c r="BC82" s="50">
        <v>0</v>
      </c>
      <c r="BD82" s="50">
        <v>0</v>
      </c>
      <c r="BE82" s="50">
        <v>0</v>
      </c>
      <c r="BF82" s="50">
        <v>0</v>
      </c>
      <c r="BG82" s="50">
        <v>0</v>
      </c>
      <c r="BH82" s="50">
        <v>0</v>
      </c>
      <c r="BI82" s="50">
        <v>0</v>
      </c>
      <c r="BJ82" s="50">
        <v>0</v>
      </c>
      <c r="BK82" s="50">
        <v>0</v>
      </c>
      <c r="BL82" s="50">
        <v>0</v>
      </c>
      <c r="BM82" s="50">
        <v>0</v>
      </c>
      <c r="BN82" s="50">
        <v>0</v>
      </c>
      <c r="BO82" s="50">
        <v>0</v>
      </c>
      <c r="BP82" s="50">
        <v>0</v>
      </c>
      <c r="BQ82" s="50">
        <v>0</v>
      </c>
      <c r="BR82" s="50">
        <v>0</v>
      </c>
      <c r="BS82" s="50">
        <v>0</v>
      </c>
      <c r="BT82" s="50">
        <v>0</v>
      </c>
      <c r="BU82" s="50">
        <v>0</v>
      </c>
      <c r="BV82" s="50">
        <v>0</v>
      </c>
      <c r="BW82" s="50">
        <v>0</v>
      </c>
      <c r="BX82" s="50">
        <v>0</v>
      </c>
      <c r="BY82" s="50">
        <v>0</v>
      </c>
      <c r="BZ82" s="50">
        <v>0</v>
      </c>
      <c r="CA82" s="50">
        <v>0</v>
      </c>
      <c r="CB82" s="50">
        <v>0</v>
      </c>
      <c r="CC82" s="50">
        <v>0</v>
      </c>
      <c r="CD82" s="50">
        <v>0</v>
      </c>
      <c r="CE82" s="50">
        <v>0</v>
      </c>
      <c r="CF82" s="50">
        <v>0</v>
      </c>
      <c r="CG82" s="50">
        <v>0</v>
      </c>
      <c r="CH82" s="50">
        <v>0</v>
      </c>
      <c r="CI82" s="50">
        <v>0</v>
      </c>
      <c r="CJ82" s="50">
        <v>0</v>
      </c>
      <c r="CK82" s="50">
        <v>0</v>
      </c>
      <c r="CL82"/>
      <c r="CN82" s="29"/>
      <c r="CO82" s="37"/>
    </row>
    <row r="83" spans="1:93" ht="15" x14ac:dyDescent="0.25">
      <c r="A83" s="34"/>
      <c r="B83" s="30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 s="38"/>
      <c r="CN83" s="29"/>
      <c r="CO83" s="37"/>
    </row>
    <row r="84" spans="1:93" ht="15.75" thickBot="1" x14ac:dyDescent="0.3">
      <c r="A84" s="34"/>
      <c r="B84" s="30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 s="38"/>
      <c r="CN84" s="29"/>
      <c r="CO84" s="29"/>
    </row>
    <row r="85" spans="1:93" ht="15" x14ac:dyDescent="0.25"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40"/>
    </row>
  </sheetData>
  <dataConsolidate/>
  <phoneticPr fontId="15" type="noConversion"/>
  <conditionalFormatting sqref="CM83">
    <cfRule type="expression" dxfId="3" priority="3">
      <formula>AND(#REF!&lt;&gt;"",CM$6&lt;=#REF!)</formula>
    </cfRule>
  </conditionalFormatting>
  <conditionalFormatting sqref="CM84">
    <cfRule type="expression" dxfId="2" priority="2">
      <formula>AND(#REF!&lt;&gt;"",CM$6&lt;=#REF!)</formula>
    </cfRule>
  </conditionalFormatting>
  <conditionalFormatting sqref="E7:CK82"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3">
    <tabColor theme="9" tint="0.39997558519241921"/>
  </sheetPr>
  <dimension ref="A1:CH77"/>
  <sheetViews>
    <sheetView workbookViewId="0">
      <selection sqref="A1:CH77"/>
    </sheetView>
  </sheetViews>
  <sheetFormatPr baseColWidth="10" defaultColWidth="9.140625" defaultRowHeight="12.75" x14ac:dyDescent="0.2"/>
  <cols>
    <col min="1" max="1" width="27.140625" bestFit="1" customWidth="1"/>
    <col min="2" max="190" width="11.42578125" customWidth="1"/>
  </cols>
  <sheetData>
    <row r="1" spans="1:86" x14ac:dyDescent="0.2">
      <c r="A1" t="s">
        <v>272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  <c r="BN1" t="s">
        <v>76</v>
      </c>
      <c r="BO1" t="s">
        <v>77</v>
      </c>
      <c r="BP1" t="s">
        <v>78</v>
      </c>
      <c r="BQ1" t="s">
        <v>79</v>
      </c>
      <c r="BR1" t="s">
        <v>80</v>
      </c>
      <c r="BS1" t="s">
        <v>81</v>
      </c>
      <c r="BT1" t="s">
        <v>82</v>
      </c>
      <c r="BU1" t="s">
        <v>83</v>
      </c>
      <c r="BV1" t="s">
        <v>84</v>
      </c>
      <c r="BW1" t="s">
        <v>85</v>
      </c>
      <c r="BX1" t="s">
        <v>86</v>
      </c>
      <c r="BY1" t="s">
        <v>87</v>
      </c>
      <c r="BZ1" t="s">
        <v>88</v>
      </c>
      <c r="CA1" t="s">
        <v>89</v>
      </c>
      <c r="CB1" t="s">
        <v>90</v>
      </c>
      <c r="CC1" t="s">
        <v>91</v>
      </c>
      <c r="CD1" t="s">
        <v>92</v>
      </c>
      <c r="CE1" t="s">
        <v>93</v>
      </c>
      <c r="CF1" t="s">
        <v>94</v>
      </c>
      <c r="CG1" t="s">
        <v>95</v>
      </c>
      <c r="CH1" t="s">
        <v>96</v>
      </c>
    </row>
    <row r="2" spans="1:86" x14ac:dyDescent="0.2">
      <c r="A2" t="str">
        <f>TRIM('Clients Projection'!C7)</f>
        <v>Project 1</v>
      </c>
      <c r="B2">
        <f>'Clients Projection'!E7</f>
        <v>0</v>
      </c>
      <c r="C2">
        <f>'Clients Projection'!F7</f>
        <v>0</v>
      </c>
      <c r="D2">
        <f>'Clients Projection'!G7</f>
        <v>0</v>
      </c>
      <c r="E2">
        <f>'Clients Projection'!H7</f>
        <v>0</v>
      </c>
      <c r="F2">
        <f>'Clients Projection'!I7</f>
        <v>0</v>
      </c>
      <c r="G2">
        <f>'Clients Projection'!J7</f>
        <v>0</v>
      </c>
      <c r="H2">
        <f>'Clients Projection'!K7</f>
        <v>0</v>
      </c>
      <c r="I2">
        <f>'Clients Projection'!L7</f>
        <v>0</v>
      </c>
      <c r="J2">
        <f>'Clients Projection'!M7</f>
        <v>0</v>
      </c>
      <c r="K2">
        <f>'Clients Projection'!N7</f>
        <v>1</v>
      </c>
      <c r="L2">
        <f>'Clients Projection'!O7</f>
        <v>2</v>
      </c>
      <c r="M2">
        <f>'Clients Projection'!P7</f>
        <v>1</v>
      </c>
      <c r="N2">
        <f>'Clients Projection'!Q7</f>
        <v>1</v>
      </c>
      <c r="O2">
        <f>'Clients Projection'!R7</f>
        <v>0</v>
      </c>
      <c r="P2">
        <f>'Clients Projection'!S7</f>
        <v>0</v>
      </c>
      <c r="Q2">
        <f>'Clients Projection'!T7</f>
        <v>1</v>
      </c>
      <c r="R2">
        <f>'Clients Projection'!U7</f>
        <v>1</v>
      </c>
      <c r="S2">
        <f>'Clients Projection'!V7</f>
        <v>1</v>
      </c>
      <c r="T2">
        <f>'Clients Projection'!W7</f>
        <v>2</v>
      </c>
      <c r="U2">
        <f>'Clients Projection'!X7</f>
        <v>0</v>
      </c>
      <c r="V2">
        <f>'Clients Projection'!Y7</f>
        <v>0</v>
      </c>
      <c r="W2">
        <f>'Clients Projection'!Z7</f>
        <v>0</v>
      </c>
      <c r="X2">
        <f>'Clients Projection'!AA7</f>
        <v>0</v>
      </c>
      <c r="Y2">
        <f>'Clients Projection'!AB7</f>
        <v>0</v>
      </c>
      <c r="Z2">
        <f>'Clients Projection'!AC7</f>
        <v>0</v>
      </c>
      <c r="AA2">
        <f>'Clients Projection'!AD7</f>
        <v>0</v>
      </c>
      <c r="AB2">
        <f>'Clients Projection'!AE7</f>
        <v>0</v>
      </c>
      <c r="AC2">
        <f>'Clients Projection'!AF7</f>
        <v>0</v>
      </c>
      <c r="AD2">
        <f>'Clients Projection'!AG7</f>
        <v>0</v>
      </c>
      <c r="AE2">
        <f>'Clients Projection'!AH7</f>
        <v>0</v>
      </c>
      <c r="AF2">
        <f>'Clients Projection'!AI7</f>
        <v>0</v>
      </c>
      <c r="AG2">
        <f>'Clients Projection'!AJ7</f>
        <v>0</v>
      </c>
      <c r="AH2">
        <f>'Clients Projection'!AK7</f>
        <v>0</v>
      </c>
      <c r="AI2">
        <f>'Clients Projection'!AL7</f>
        <v>0</v>
      </c>
      <c r="AJ2">
        <f>'Clients Projection'!AM7</f>
        <v>0</v>
      </c>
      <c r="AK2">
        <f>'Clients Projection'!AN7</f>
        <v>0</v>
      </c>
      <c r="AL2">
        <f>'Clients Projection'!AO7</f>
        <v>0</v>
      </c>
      <c r="AM2">
        <f>'Clients Projection'!AP7</f>
        <v>0</v>
      </c>
      <c r="AN2">
        <f>'Clients Projection'!AQ7</f>
        <v>0</v>
      </c>
      <c r="AO2">
        <f>'Clients Projection'!AR7</f>
        <v>0</v>
      </c>
      <c r="AP2">
        <f>'Clients Projection'!AS7</f>
        <v>0</v>
      </c>
      <c r="AQ2">
        <f>'Clients Projection'!AT7</f>
        <v>0</v>
      </c>
      <c r="AR2">
        <f>'Clients Projection'!AU7</f>
        <v>0</v>
      </c>
      <c r="AS2">
        <f>'Clients Projection'!AV7</f>
        <v>0</v>
      </c>
      <c r="AT2">
        <f>'Clients Projection'!AW7</f>
        <v>0</v>
      </c>
      <c r="AU2">
        <f>'Clients Projection'!AX7</f>
        <v>0</v>
      </c>
      <c r="AV2">
        <f>'Clients Projection'!AY7</f>
        <v>0</v>
      </c>
      <c r="AW2">
        <f>'Clients Projection'!AZ7</f>
        <v>0</v>
      </c>
      <c r="AX2">
        <f>'Clients Projection'!BA7</f>
        <v>0</v>
      </c>
      <c r="AY2">
        <f>'Clients Projection'!BB7</f>
        <v>0</v>
      </c>
      <c r="AZ2">
        <f>'Clients Projection'!BC7</f>
        <v>0</v>
      </c>
      <c r="BA2">
        <f>'Clients Projection'!BD7</f>
        <v>0</v>
      </c>
      <c r="BB2">
        <f>'Clients Projection'!BE7</f>
        <v>0</v>
      </c>
      <c r="BC2">
        <f>'Clients Projection'!BF7</f>
        <v>0</v>
      </c>
      <c r="BD2">
        <f>'Clients Projection'!BG7</f>
        <v>0</v>
      </c>
      <c r="BE2">
        <f>'Clients Projection'!BH7</f>
        <v>0</v>
      </c>
      <c r="BF2">
        <f>'Clients Projection'!BI7</f>
        <v>0</v>
      </c>
      <c r="BG2">
        <f>'Clients Projection'!BJ7</f>
        <v>0</v>
      </c>
      <c r="BH2">
        <f>'Clients Projection'!BK7</f>
        <v>0</v>
      </c>
      <c r="BI2">
        <f>'Clients Projection'!BL7</f>
        <v>0</v>
      </c>
      <c r="BJ2">
        <f>'Clients Projection'!BM7</f>
        <v>0</v>
      </c>
      <c r="BK2">
        <f>'Clients Projection'!BN7</f>
        <v>0</v>
      </c>
      <c r="BL2">
        <f>'Clients Projection'!BO7</f>
        <v>0</v>
      </c>
      <c r="BM2">
        <f>'Clients Projection'!BP7</f>
        <v>0</v>
      </c>
      <c r="BN2">
        <f>'Clients Projection'!BQ7</f>
        <v>0</v>
      </c>
      <c r="BO2">
        <f>'Clients Projection'!BR7</f>
        <v>0</v>
      </c>
      <c r="BP2">
        <f>'Clients Projection'!BS7</f>
        <v>0</v>
      </c>
      <c r="BQ2">
        <f>'Clients Projection'!BT7</f>
        <v>0</v>
      </c>
      <c r="BR2">
        <f>'Clients Projection'!BU7</f>
        <v>0</v>
      </c>
      <c r="BS2">
        <f>'Clients Projection'!BV7</f>
        <v>0</v>
      </c>
      <c r="BT2">
        <f>'Clients Projection'!BW7</f>
        <v>0</v>
      </c>
      <c r="BU2">
        <f>'Clients Projection'!BX7</f>
        <v>0</v>
      </c>
      <c r="BV2">
        <f>'Clients Projection'!BY7</f>
        <v>0</v>
      </c>
      <c r="BW2">
        <f>'Clients Projection'!BZ7</f>
        <v>0</v>
      </c>
      <c r="BX2">
        <f>'Clients Projection'!CA7</f>
        <v>0</v>
      </c>
      <c r="BY2">
        <f>'Clients Projection'!CB7</f>
        <v>0</v>
      </c>
      <c r="BZ2">
        <f>'Clients Projection'!CC7</f>
        <v>0</v>
      </c>
      <c r="CA2">
        <f>'Clients Projection'!CD7</f>
        <v>0</v>
      </c>
      <c r="CB2">
        <f>'Clients Projection'!CE7</f>
        <v>0</v>
      </c>
      <c r="CC2">
        <f>'Clients Projection'!CF7</f>
        <v>0</v>
      </c>
      <c r="CD2">
        <f>'Clients Projection'!CG7</f>
        <v>0</v>
      </c>
      <c r="CE2">
        <f>'Clients Projection'!CH7</f>
        <v>0</v>
      </c>
      <c r="CF2">
        <f>'Clients Projection'!CI7</f>
        <v>0</v>
      </c>
      <c r="CG2">
        <f>'Clients Projection'!CJ7</f>
        <v>0</v>
      </c>
      <c r="CH2">
        <f>'Clients Projection'!CK7</f>
        <v>0</v>
      </c>
    </row>
    <row r="3" spans="1:86" x14ac:dyDescent="0.2">
      <c r="A3" t="s">
        <v>185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</row>
    <row r="4" spans="1:86" x14ac:dyDescent="0.2">
      <c r="A4" t="s">
        <v>186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5</v>
      </c>
      <c r="L4">
        <v>5</v>
      </c>
      <c r="M4">
        <v>5</v>
      </c>
      <c r="N4">
        <v>5</v>
      </c>
      <c r="O4">
        <v>5</v>
      </c>
      <c r="P4">
        <v>5</v>
      </c>
      <c r="Q4">
        <v>5</v>
      </c>
      <c r="R4">
        <v>5</v>
      </c>
      <c r="S4">
        <v>5</v>
      </c>
      <c r="T4">
        <v>5</v>
      </c>
      <c r="U4">
        <v>5</v>
      </c>
      <c r="V4">
        <v>5</v>
      </c>
      <c r="W4">
        <v>5</v>
      </c>
      <c r="X4">
        <v>5</v>
      </c>
      <c r="Y4">
        <v>5</v>
      </c>
      <c r="Z4">
        <v>5</v>
      </c>
      <c r="AA4">
        <v>5</v>
      </c>
      <c r="AB4">
        <v>5</v>
      </c>
      <c r="AC4">
        <v>5</v>
      </c>
      <c r="AD4">
        <v>5</v>
      </c>
      <c r="AE4">
        <v>5</v>
      </c>
      <c r="AF4">
        <v>5</v>
      </c>
      <c r="AG4">
        <v>5</v>
      </c>
      <c r="AH4">
        <v>5</v>
      </c>
      <c r="AI4">
        <v>5</v>
      </c>
      <c r="AJ4">
        <v>5</v>
      </c>
      <c r="AK4">
        <v>5</v>
      </c>
      <c r="AL4">
        <v>5</v>
      </c>
      <c r="AM4">
        <v>5</v>
      </c>
      <c r="AN4">
        <v>5</v>
      </c>
      <c r="AO4">
        <v>5</v>
      </c>
      <c r="AP4">
        <v>5</v>
      </c>
      <c r="AQ4">
        <v>5</v>
      </c>
      <c r="AR4">
        <v>5</v>
      </c>
      <c r="AS4">
        <v>5</v>
      </c>
      <c r="AT4">
        <v>5</v>
      </c>
      <c r="AU4">
        <v>5</v>
      </c>
      <c r="AV4">
        <v>5</v>
      </c>
      <c r="AW4">
        <v>5</v>
      </c>
      <c r="AX4">
        <v>5</v>
      </c>
      <c r="AY4">
        <v>5</v>
      </c>
      <c r="AZ4">
        <v>5</v>
      </c>
      <c r="BA4">
        <v>5</v>
      </c>
      <c r="BB4">
        <v>5</v>
      </c>
      <c r="BC4">
        <v>5</v>
      </c>
      <c r="BD4">
        <v>5</v>
      </c>
      <c r="BE4">
        <v>5</v>
      </c>
      <c r="BF4">
        <v>5</v>
      </c>
      <c r="BG4">
        <v>5</v>
      </c>
      <c r="BH4">
        <v>5</v>
      </c>
      <c r="BI4">
        <v>5</v>
      </c>
      <c r="BJ4">
        <v>5</v>
      </c>
      <c r="BK4">
        <v>5</v>
      </c>
      <c r="BL4">
        <v>5</v>
      </c>
      <c r="BM4">
        <v>5</v>
      </c>
      <c r="BN4">
        <v>5</v>
      </c>
      <c r="BO4">
        <v>5</v>
      </c>
      <c r="BP4">
        <v>5</v>
      </c>
      <c r="BQ4">
        <v>5</v>
      </c>
      <c r="BR4">
        <v>5</v>
      </c>
      <c r="BS4">
        <v>5</v>
      </c>
      <c r="BT4">
        <v>5</v>
      </c>
      <c r="BU4">
        <v>5</v>
      </c>
      <c r="BV4">
        <v>5</v>
      </c>
      <c r="BW4">
        <v>5</v>
      </c>
      <c r="BX4">
        <v>5</v>
      </c>
      <c r="BY4">
        <v>5</v>
      </c>
      <c r="BZ4">
        <v>5</v>
      </c>
      <c r="CA4">
        <v>5</v>
      </c>
      <c r="CB4">
        <v>5</v>
      </c>
      <c r="CC4">
        <v>5</v>
      </c>
      <c r="CD4">
        <v>5</v>
      </c>
      <c r="CE4">
        <v>5</v>
      </c>
      <c r="CF4">
        <v>5</v>
      </c>
      <c r="CG4">
        <v>5</v>
      </c>
      <c r="CH4">
        <v>5</v>
      </c>
    </row>
    <row r="5" spans="1:86" x14ac:dyDescent="0.2">
      <c r="A5" t="s">
        <v>187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5</v>
      </c>
      <c r="M5">
        <v>5</v>
      </c>
      <c r="N5">
        <v>5</v>
      </c>
      <c r="O5">
        <v>5</v>
      </c>
      <c r="P5">
        <v>5</v>
      </c>
      <c r="Q5">
        <v>5</v>
      </c>
      <c r="R5">
        <v>5</v>
      </c>
      <c r="S5">
        <v>5</v>
      </c>
      <c r="T5">
        <v>5</v>
      </c>
      <c r="U5">
        <v>5</v>
      </c>
      <c r="V5">
        <v>5</v>
      </c>
      <c r="W5">
        <v>5</v>
      </c>
      <c r="X5">
        <v>5</v>
      </c>
      <c r="Y5">
        <v>5</v>
      </c>
      <c r="Z5">
        <v>5</v>
      </c>
      <c r="AA5">
        <v>5</v>
      </c>
      <c r="AB5">
        <v>5</v>
      </c>
      <c r="AC5">
        <v>5</v>
      </c>
      <c r="AD5">
        <v>5</v>
      </c>
      <c r="AE5">
        <v>5</v>
      </c>
      <c r="AF5">
        <v>5</v>
      </c>
      <c r="AG5">
        <v>5</v>
      </c>
      <c r="AH5">
        <v>5</v>
      </c>
      <c r="AI5">
        <v>5</v>
      </c>
      <c r="AJ5">
        <v>5</v>
      </c>
      <c r="AK5">
        <v>5</v>
      </c>
      <c r="AL5">
        <v>5</v>
      </c>
      <c r="AM5">
        <v>5</v>
      </c>
      <c r="AN5">
        <v>5</v>
      </c>
      <c r="AO5">
        <v>5</v>
      </c>
      <c r="AP5">
        <v>5</v>
      </c>
      <c r="AQ5">
        <v>5</v>
      </c>
      <c r="AR5">
        <v>5</v>
      </c>
      <c r="AS5">
        <v>5</v>
      </c>
      <c r="AT5">
        <v>5</v>
      </c>
      <c r="AU5">
        <v>5</v>
      </c>
      <c r="AV5">
        <v>5</v>
      </c>
      <c r="AW5">
        <v>5</v>
      </c>
      <c r="AX5">
        <v>5</v>
      </c>
      <c r="AY5">
        <v>5</v>
      </c>
      <c r="AZ5">
        <v>5</v>
      </c>
      <c r="BA5">
        <v>5</v>
      </c>
      <c r="BB5">
        <v>5</v>
      </c>
      <c r="BC5">
        <v>5</v>
      </c>
      <c r="BD5">
        <v>5</v>
      </c>
      <c r="BE5">
        <v>5</v>
      </c>
      <c r="BF5">
        <v>5</v>
      </c>
      <c r="BG5">
        <v>5</v>
      </c>
      <c r="BH5">
        <v>5</v>
      </c>
      <c r="BI5">
        <v>5</v>
      </c>
      <c r="BJ5">
        <v>5</v>
      </c>
      <c r="BK5">
        <v>5</v>
      </c>
      <c r="BL5">
        <v>5</v>
      </c>
      <c r="BM5">
        <v>5</v>
      </c>
      <c r="BN5">
        <v>5</v>
      </c>
      <c r="BO5">
        <v>5</v>
      </c>
      <c r="BP5">
        <v>5</v>
      </c>
      <c r="BQ5">
        <v>5</v>
      </c>
      <c r="BR5">
        <v>5</v>
      </c>
      <c r="BS5">
        <v>5</v>
      </c>
      <c r="BT5">
        <v>5</v>
      </c>
      <c r="BU5">
        <v>5</v>
      </c>
      <c r="BV5">
        <v>5</v>
      </c>
      <c r="BW5">
        <v>5</v>
      </c>
      <c r="BX5">
        <v>5</v>
      </c>
      <c r="BY5">
        <v>5</v>
      </c>
      <c r="BZ5">
        <v>5</v>
      </c>
      <c r="CA5">
        <v>5</v>
      </c>
      <c r="CB5">
        <v>5</v>
      </c>
      <c r="CC5">
        <v>5</v>
      </c>
      <c r="CD5">
        <v>5</v>
      </c>
      <c r="CE5">
        <v>5</v>
      </c>
      <c r="CF5">
        <v>5</v>
      </c>
      <c r="CG5">
        <v>5</v>
      </c>
      <c r="CH5">
        <v>5</v>
      </c>
    </row>
    <row r="6" spans="1:86" x14ac:dyDescent="0.2">
      <c r="A6" t="s">
        <v>188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5</v>
      </c>
      <c r="N6">
        <v>5</v>
      </c>
      <c r="O6">
        <v>5</v>
      </c>
      <c r="P6">
        <v>5</v>
      </c>
      <c r="Q6">
        <v>5</v>
      </c>
      <c r="R6">
        <v>5</v>
      </c>
      <c r="S6">
        <v>5</v>
      </c>
      <c r="T6">
        <v>5</v>
      </c>
      <c r="U6">
        <v>5</v>
      </c>
      <c r="V6">
        <v>5</v>
      </c>
      <c r="W6">
        <v>5</v>
      </c>
      <c r="X6">
        <v>5</v>
      </c>
      <c r="Y6">
        <v>5</v>
      </c>
      <c r="Z6">
        <v>5</v>
      </c>
      <c r="AA6">
        <v>5</v>
      </c>
      <c r="AB6">
        <v>5</v>
      </c>
      <c r="AC6">
        <v>5</v>
      </c>
      <c r="AD6">
        <v>5</v>
      </c>
      <c r="AE6">
        <v>5</v>
      </c>
      <c r="AF6">
        <v>5</v>
      </c>
      <c r="AG6">
        <v>5</v>
      </c>
      <c r="AH6">
        <v>5</v>
      </c>
      <c r="AI6">
        <v>5</v>
      </c>
      <c r="AJ6">
        <v>5</v>
      </c>
      <c r="AK6">
        <v>5</v>
      </c>
      <c r="AL6">
        <v>5</v>
      </c>
      <c r="AM6">
        <v>5</v>
      </c>
      <c r="AN6">
        <v>5</v>
      </c>
      <c r="AO6">
        <v>5</v>
      </c>
      <c r="AP6">
        <v>5</v>
      </c>
      <c r="AQ6">
        <v>5</v>
      </c>
      <c r="AR6">
        <v>5</v>
      </c>
      <c r="AS6">
        <v>5</v>
      </c>
      <c r="AT6">
        <v>5</v>
      </c>
      <c r="AU6">
        <v>5</v>
      </c>
      <c r="AV6">
        <v>5</v>
      </c>
      <c r="AW6">
        <v>5</v>
      </c>
      <c r="AX6">
        <v>5</v>
      </c>
      <c r="AY6">
        <v>5</v>
      </c>
      <c r="AZ6">
        <v>5</v>
      </c>
      <c r="BA6">
        <v>5</v>
      </c>
      <c r="BB6">
        <v>5</v>
      </c>
      <c r="BC6">
        <v>5</v>
      </c>
      <c r="BD6">
        <v>5</v>
      </c>
      <c r="BE6">
        <v>5</v>
      </c>
      <c r="BF6">
        <v>5</v>
      </c>
      <c r="BG6">
        <v>5</v>
      </c>
      <c r="BH6">
        <v>5</v>
      </c>
      <c r="BI6">
        <v>5</v>
      </c>
      <c r="BJ6">
        <v>5</v>
      </c>
      <c r="BK6">
        <v>5</v>
      </c>
      <c r="BL6">
        <v>5</v>
      </c>
      <c r="BM6">
        <v>5</v>
      </c>
      <c r="BN6">
        <v>5</v>
      </c>
      <c r="BO6">
        <v>5</v>
      </c>
      <c r="BP6">
        <v>5</v>
      </c>
      <c r="BQ6">
        <v>5</v>
      </c>
      <c r="BR6">
        <v>5</v>
      </c>
      <c r="BS6">
        <v>5</v>
      </c>
      <c r="BT6">
        <v>5</v>
      </c>
      <c r="BU6">
        <v>5</v>
      </c>
      <c r="BV6">
        <v>5</v>
      </c>
      <c r="BW6">
        <v>5</v>
      </c>
      <c r="BX6">
        <v>5</v>
      </c>
      <c r="BY6">
        <v>5</v>
      </c>
      <c r="BZ6">
        <v>5</v>
      </c>
      <c r="CA6">
        <v>5</v>
      </c>
      <c r="CB6">
        <v>5</v>
      </c>
      <c r="CC6">
        <v>5</v>
      </c>
      <c r="CD6">
        <v>5</v>
      </c>
      <c r="CE6">
        <v>5</v>
      </c>
      <c r="CF6">
        <v>5</v>
      </c>
      <c r="CG6">
        <v>5</v>
      </c>
      <c r="CH6">
        <v>5</v>
      </c>
    </row>
    <row r="7" spans="1:86" x14ac:dyDescent="0.2">
      <c r="A7" t="s">
        <v>189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5</v>
      </c>
      <c r="L7">
        <v>5</v>
      </c>
      <c r="M7">
        <v>5</v>
      </c>
      <c r="N7">
        <v>5</v>
      </c>
      <c r="O7">
        <v>5</v>
      </c>
      <c r="P7">
        <v>5</v>
      </c>
      <c r="Q7">
        <v>5</v>
      </c>
      <c r="R7">
        <v>5</v>
      </c>
      <c r="S7">
        <v>5</v>
      </c>
      <c r="T7">
        <v>5</v>
      </c>
      <c r="U7">
        <v>5</v>
      </c>
      <c r="V7">
        <v>5</v>
      </c>
      <c r="W7">
        <v>5</v>
      </c>
      <c r="X7">
        <v>5</v>
      </c>
      <c r="Y7">
        <v>5</v>
      </c>
      <c r="Z7">
        <v>5</v>
      </c>
      <c r="AA7">
        <v>5</v>
      </c>
      <c r="AB7">
        <v>5</v>
      </c>
      <c r="AC7">
        <v>5</v>
      </c>
      <c r="AD7">
        <v>5</v>
      </c>
      <c r="AE7">
        <v>5</v>
      </c>
      <c r="AF7">
        <v>5</v>
      </c>
      <c r="AG7">
        <v>5</v>
      </c>
      <c r="AH7">
        <v>5</v>
      </c>
      <c r="AI7">
        <v>5</v>
      </c>
      <c r="AJ7">
        <v>5</v>
      </c>
      <c r="AK7">
        <v>5</v>
      </c>
      <c r="AL7">
        <v>5</v>
      </c>
      <c r="AM7">
        <v>5</v>
      </c>
      <c r="AN7">
        <v>5</v>
      </c>
      <c r="AO7">
        <v>5</v>
      </c>
      <c r="AP7">
        <v>5</v>
      </c>
      <c r="AQ7">
        <v>5</v>
      </c>
      <c r="AR7">
        <v>5</v>
      </c>
      <c r="AS7">
        <v>5</v>
      </c>
      <c r="AT7">
        <v>5</v>
      </c>
      <c r="AU7">
        <v>5</v>
      </c>
      <c r="AV7">
        <v>5</v>
      </c>
      <c r="AW7">
        <v>5</v>
      </c>
      <c r="AX7">
        <v>5</v>
      </c>
      <c r="AY7">
        <v>5</v>
      </c>
      <c r="AZ7">
        <v>5</v>
      </c>
      <c r="BA7">
        <v>5</v>
      </c>
      <c r="BB7">
        <v>5</v>
      </c>
      <c r="BC7">
        <v>5</v>
      </c>
      <c r="BD7">
        <v>5</v>
      </c>
      <c r="BE7">
        <v>5</v>
      </c>
      <c r="BF7">
        <v>5</v>
      </c>
      <c r="BG7">
        <v>5</v>
      </c>
      <c r="BH7">
        <v>5</v>
      </c>
      <c r="BI7">
        <v>5</v>
      </c>
      <c r="BJ7">
        <v>5</v>
      </c>
      <c r="BK7">
        <v>5</v>
      </c>
      <c r="BL7">
        <v>5</v>
      </c>
      <c r="BM7">
        <v>5</v>
      </c>
      <c r="BN7">
        <v>5</v>
      </c>
      <c r="BO7">
        <v>5</v>
      </c>
      <c r="BP7">
        <v>5</v>
      </c>
      <c r="BQ7">
        <v>5</v>
      </c>
      <c r="BR7">
        <v>5</v>
      </c>
      <c r="BS7">
        <v>5</v>
      </c>
      <c r="BT7">
        <v>5</v>
      </c>
      <c r="BU7">
        <v>5</v>
      </c>
      <c r="BV7">
        <v>5</v>
      </c>
      <c r="BW7">
        <v>5</v>
      </c>
      <c r="BX7">
        <v>5</v>
      </c>
      <c r="BY7">
        <v>5</v>
      </c>
      <c r="BZ7">
        <v>5</v>
      </c>
      <c r="CA7">
        <v>5</v>
      </c>
      <c r="CB7">
        <v>5</v>
      </c>
      <c r="CC7">
        <v>5</v>
      </c>
      <c r="CD7">
        <v>5</v>
      </c>
      <c r="CE7">
        <v>5</v>
      </c>
      <c r="CF7">
        <v>5</v>
      </c>
      <c r="CG7">
        <v>5</v>
      </c>
      <c r="CH7">
        <v>5</v>
      </c>
    </row>
    <row r="8" spans="1:86" x14ac:dyDescent="0.2">
      <c r="A8" t="s">
        <v>190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5</v>
      </c>
      <c r="L8">
        <v>5</v>
      </c>
      <c r="M8">
        <v>5</v>
      </c>
      <c r="N8">
        <v>5</v>
      </c>
      <c r="O8">
        <v>5</v>
      </c>
      <c r="P8">
        <v>5</v>
      </c>
      <c r="Q8">
        <v>5</v>
      </c>
      <c r="R8">
        <v>5</v>
      </c>
      <c r="S8">
        <v>5</v>
      </c>
      <c r="T8">
        <v>5</v>
      </c>
      <c r="U8">
        <v>5</v>
      </c>
      <c r="V8">
        <v>5</v>
      </c>
      <c r="W8">
        <v>5</v>
      </c>
      <c r="X8">
        <v>5</v>
      </c>
      <c r="Y8">
        <v>5</v>
      </c>
      <c r="Z8">
        <v>5</v>
      </c>
      <c r="AA8">
        <v>5</v>
      </c>
      <c r="AB8">
        <v>5</v>
      </c>
      <c r="AC8">
        <v>5</v>
      </c>
      <c r="AD8">
        <v>5</v>
      </c>
      <c r="AE8">
        <v>5</v>
      </c>
      <c r="AF8">
        <v>5</v>
      </c>
      <c r="AG8">
        <v>5</v>
      </c>
      <c r="AH8">
        <v>5</v>
      </c>
      <c r="AI8">
        <v>5</v>
      </c>
      <c r="AJ8">
        <v>5</v>
      </c>
      <c r="AK8">
        <v>5</v>
      </c>
      <c r="AL8">
        <v>5</v>
      </c>
      <c r="AM8">
        <v>5</v>
      </c>
      <c r="AN8">
        <v>5</v>
      </c>
      <c r="AO8">
        <v>5</v>
      </c>
      <c r="AP8">
        <v>5</v>
      </c>
      <c r="AQ8">
        <v>5</v>
      </c>
      <c r="AR8">
        <v>5</v>
      </c>
      <c r="AS8">
        <v>5</v>
      </c>
      <c r="AT8">
        <v>5</v>
      </c>
      <c r="AU8">
        <v>5</v>
      </c>
      <c r="AV8">
        <v>5</v>
      </c>
      <c r="AW8">
        <v>5</v>
      </c>
      <c r="AX8">
        <v>5</v>
      </c>
      <c r="AY8">
        <v>5</v>
      </c>
      <c r="AZ8">
        <v>5</v>
      </c>
      <c r="BA8">
        <v>5</v>
      </c>
      <c r="BB8">
        <v>5</v>
      </c>
      <c r="BC8">
        <v>5</v>
      </c>
      <c r="BD8">
        <v>5</v>
      </c>
      <c r="BE8">
        <v>5</v>
      </c>
      <c r="BF8">
        <v>5</v>
      </c>
      <c r="BG8">
        <v>5</v>
      </c>
      <c r="BH8">
        <v>5</v>
      </c>
      <c r="BI8">
        <v>5</v>
      </c>
      <c r="BJ8">
        <v>5</v>
      </c>
      <c r="BK8">
        <v>5</v>
      </c>
      <c r="BL8">
        <v>5</v>
      </c>
      <c r="BM8">
        <v>5</v>
      </c>
      <c r="BN8">
        <v>5</v>
      </c>
      <c r="BO8">
        <v>5</v>
      </c>
      <c r="BP8">
        <v>5</v>
      </c>
      <c r="BQ8">
        <v>5</v>
      </c>
      <c r="BR8">
        <v>5</v>
      </c>
      <c r="BS8">
        <v>5</v>
      </c>
      <c r="BT8">
        <v>5</v>
      </c>
      <c r="BU8">
        <v>5</v>
      </c>
      <c r="BV8">
        <v>5</v>
      </c>
      <c r="BW8">
        <v>5</v>
      </c>
      <c r="BX8">
        <v>5</v>
      </c>
      <c r="BY8">
        <v>5</v>
      </c>
      <c r="BZ8">
        <v>5</v>
      </c>
      <c r="CA8">
        <v>5</v>
      </c>
      <c r="CB8">
        <v>5</v>
      </c>
      <c r="CC8">
        <v>5</v>
      </c>
      <c r="CD8">
        <v>5</v>
      </c>
      <c r="CE8">
        <v>5</v>
      </c>
      <c r="CF8">
        <v>5</v>
      </c>
      <c r="CG8">
        <v>5</v>
      </c>
      <c r="CH8">
        <v>5</v>
      </c>
    </row>
    <row r="9" spans="1:86" x14ac:dyDescent="0.2">
      <c r="A9" t="s">
        <v>191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</row>
    <row r="10" spans="1:86" x14ac:dyDescent="0.2">
      <c r="A10" t="s">
        <v>192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</row>
    <row r="11" spans="1:86" x14ac:dyDescent="0.2">
      <c r="A11" t="s">
        <v>193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</row>
    <row r="12" spans="1:86" x14ac:dyDescent="0.2">
      <c r="A12" t="s">
        <v>194</v>
      </c>
      <c r="B12">
        <v>10</v>
      </c>
      <c r="C12">
        <v>15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</row>
    <row r="13" spans="1:86" x14ac:dyDescent="0.2">
      <c r="A13" t="s">
        <v>195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</row>
    <row r="14" spans="1:86" x14ac:dyDescent="0.2">
      <c r="A14" t="s">
        <v>196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</row>
    <row r="15" spans="1:86" x14ac:dyDescent="0.2">
      <c r="A15" t="s">
        <v>197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</row>
    <row r="16" spans="1:86" x14ac:dyDescent="0.2">
      <c r="A16" t="s">
        <v>198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</row>
    <row r="17" spans="1:86" x14ac:dyDescent="0.2">
      <c r="A17" t="s">
        <v>199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</row>
    <row r="18" spans="1:86" x14ac:dyDescent="0.2">
      <c r="A18" t="s">
        <v>200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</row>
    <row r="19" spans="1:86" x14ac:dyDescent="0.2">
      <c r="A19" t="s">
        <v>201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</row>
    <row r="20" spans="1:86" x14ac:dyDescent="0.2">
      <c r="A20" t="s">
        <v>202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</row>
    <row r="21" spans="1:86" x14ac:dyDescent="0.2">
      <c r="A21" t="s">
        <v>203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</row>
    <row r="22" spans="1:86" x14ac:dyDescent="0.2">
      <c r="A22" t="s">
        <v>204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</row>
    <row r="23" spans="1:86" x14ac:dyDescent="0.2">
      <c r="A23" t="s">
        <v>205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</row>
    <row r="24" spans="1:86" x14ac:dyDescent="0.2">
      <c r="A24" t="s">
        <v>206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</row>
    <row r="25" spans="1:86" x14ac:dyDescent="0.2">
      <c r="A25" t="s">
        <v>207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</row>
    <row r="26" spans="1:86" x14ac:dyDescent="0.2">
      <c r="A26" t="s">
        <v>208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</row>
    <row r="27" spans="1:86" x14ac:dyDescent="0.2">
      <c r="A27" t="s">
        <v>209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</row>
    <row r="28" spans="1:86" x14ac:dyDescent="0.2">
      <c r="A28" t="s">
        <v>210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</row>
    <row r="29" spans="1:86" x14ac:dyDescent="0.2">
      <c r="A29" t="s">
        <v>211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</row>
    <row r="30" spans="1:86" x14ac:dyDescent="0.2">
      <c r="A30" t="s">
        <v>212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</row>
    <row r="31" spans="1:86" x14ac:dyDescent="0.2">
      <c r="A31" t="s">
        <v>213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</row>
    <row r="32" spans="1:86" x14ac:dyDescent="0.2">
      <c r="A32" t="s">
        <v>214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</row>
    <row r="33" spans="1:86" x14ac:dyDescent="0.2">
      <c r="A33" t="s">
        <v>215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</row>
    <row r="34" spans="1:86" x14ac:dyDescent="0.2">
      <c r="A34" t="s">
        <v>216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</row>
    <row r="35" spans="1:86" x14ac:dyDescent="0.2">
      <c r="A35" t="s">
        <v>217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</row>
    <row r="36" spans="1:86" x14ac:dyDescent="0.2">
      <c r="A36" t="s">
        <v>218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</row>
    <row r="37" spans="1:86" x14ac:dyDescent="0.2">
      <c r="A37" t="s">
        <v>219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</row>
    <row r="38" spans="1:86" x14ac:dyDescent="0.2">
      <c r="A38" t="s">
        <v>220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</row>
    <row r="39" spans="1:86" x14ac:dyDescent="0.2">
      <c r="A39" t="s">
        <v>221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</row>
    <row r="40" spans="1:86" x14ac:dyDescent="0.2">
      <c r="A40" t="s">
        <v>222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</row>
    <row r="41" spans="1:86" x14ac:dyDescent="0.2">
      <c r="A41" t="s">
        <v>223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</row>
    <row r="42" spans="1:86" x14ac:dyDescent="0.2">
      <c r="A42" t="s">
        <v>224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</row>
    <row r="43" spans="1:86" x14ac:dyDescent="0.2">
      <c r="A43" t="s">
        <v>225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</row>
    <row r="44" spans="1:86" x14ac:dyDescent="0.2">
      <c r="A44" t="s">
        <v>226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</row>
    <row r="45" spans="1:86" x14ac:dyDescent="0.2">
      <c r="A45" t="s">
        <v>227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</row>
    <row r="46" spans="1:86" x14ac:dyDescent="0.2">
      <c r="A46" t="s">
        <v>228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</row>
    <row r="47" spans="1:86" x14ac:dyDescent="0.2">
      <c r="A47" t="s">
        <v>229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</row>
    <row r="48" spans="1:86" x14ac:dyDescent="0.2">
      <c r="A48" t="s">
        <v>230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</row>
    <row r="49" spans="1:86" x14ac:dyDescent="0.2">
      <c r="A49" t="s">
        <v>231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</row>
    <row r="50" spans="1:86" x14ac:dyDescent="0.2">
      <c r="A50" t="s">
        <v>232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</row>
    <row r="51" spans="1:86" x14ac:dyDescent="0.2">
      <c r="A51" t="s">
        <v>233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</row>
    <row r="52" spans="1:86" x14ac:dyDescent="0.2">
      <c r="A52" t="s">
        <v>234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</row>
    <row r="53" spans="1:86" x14ac:dyDescent="0.2">
      <c r="A53" t="s">
        <v>235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</row>
    <row r="54" spans="1:86" x14ac:dyDescent="0.2">
      <c r="A54" t="s">
        <v>236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</row>
    <row r="55" spans="1:86" x14ac:dyDescent="0.2">
      <c r="A55" t="s">
        <v>237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</row>
    <row r="56" spans="1:86" x14ac:dyDescent="0.2">
      <c r="A56" t="s">
        <v>238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</row>
    <row r="57" spans="1:86" x14ac:dyDescent="0.2">
      <c r="A57" t="s">
        <v>239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</row>
    <row r="58" spans="1:86" x14ac:dyDescent="0.2">
      <c r="A58" t="s">
        <v>240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</row>
    <row r="59" spans="1:86" x14ac:dyDescent="0.2">
      <c r="A59" t="s">
        <v>241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</row>
    <row r="60" spans="1:86" x14ac:dyDescent="0.2">
      <c r="A60" t="s">
        <v>242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</row>
    <row r="61" spans="1:86" x14ac:dyDescent="0.2">
      <c r="A61" t="s">
        <v>243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</row>
    <row r="62" spans="1:86" x14ac:dyDescent="0.2">
      <c r="A62" t="s">
        <v>244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</row>
    <row r="63" spans="1:86" x14ac:dyDescent="0.2">
      <c r="A63" t="s">
        <v>245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</row>
    <row r="64" spans="1:86" x14ac:dyDescent="0.2">
      <c r="A64" t="s">
        <v>246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</row>
    <row r="65" spans="1:86" x14ac:dyDescent="0.2">
      <c r="A65" t="s">
        <v>247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</row>
    <row r="66" spans="1:86" x14ac:dyDescent="0.2">
      <c r="A66" t="s">
        <v>248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</row>
    <row r="67" spans="1:86" x14ac:dyDescent="0.2">
      <c r="A67" t="s">
        <v>249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</row>
    <row r="68" spans="1:86" x14ac:dyDescent="0.2">
      <c r="A68" t="s">
        <v>250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</row>
    <row r="69" spans="1:86" x14ac:dyDescent="0.2">
      <c r="A69" t="s">
        <v>251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</row>
    <row r="70" spans="1:86" x14ac:dyDescent="0.2">
      <c r="A70" t="s">
        <v>252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</row>
    <row r="71" spans="1:86" x14ac:dyDescent="0.2">
      <c r="A71" t="s">
        <v>253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</row>
    <row r="72" spans="1:86" x14ac:dyDescent="0.2">
      <c r="A72" t="s">
        <v>254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</row>
    <row r="73" spans="1:86" x14ac:dyDescent="0.2">
      <c r="A73" t="s">
        <v>255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</row>
    <row r="74" spans="1:86" x14ac:dyDescent="0.2">
      <c r="A74" t="s">
        <v>256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</row>
    <row r="75" spans="1:86" x14ac:dyDescent="0.2">
      <c r="A75" t="s">
        <v>257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</row>
    <row r="76" spans="1:86" x14ac:dyDescent="0.2">
      <c r="A76" t="s">
        <v>258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</row>
    <row r="77" spans="1:86" x14ac:dyDescent="0.2">
      <c r="A77" t="s">
        <v>259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</row>
  </sheetData>
  <pageMargins left="0.75" right="0.75" top="1" bottom="1" header="0" footer="0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0">
    <tabColor rgb="FFFF0000"/>
  </sheetPr>
  <dimension ref="A1:AHZ117"/>
  <sheetViews>
    <sheetView showGridLines="0" zoomScaleNormal="100" workbookViewId="0">
      <selection activeCell="I31" sqref="I31"/>
    </sheetView>
  </sheetViews>
  <sheetFormatPr baseColWidth="10" defaultColWidth="0" defaultRowHeight="0" customHeight="1" zeroHeight="1" x14ac:dyDescent="0.2"/>
  <cols>
    <col min="1" max="1" width="3" style="25" customWidth="1"/>
    <col min="2" max="2" width="1.140625" style="25" customWidth="1"/>
    <col min="3" max="3" width="15.140625" style="25" customWidth="1"/>
    <col min="4" max="4" width="28.5703125" style="25" customWidth="1"/>
    <col min="5" max="5" width="2.7109375" style="25" customWidth="1"/>
    <col min="6" max="6" width="23.42578125" style="25" customWidth="1"/>
    <col min="7" max="7" width="2.7109375" style="25" customWidth="1"/>
    <col min="8" max="8" width="10.7109375" style="25" customWidth="1"/>
    <col min="9" max="9" width="33.28515625" style="25" customWidth="1"/>
    <col min="10" max="10" width="2.7109375" style="25" customWidth="1"/>
    <col min="11" max="11" width="17.5703125" style="25" customWidth="1"/>
    <col min="12" max="13" width="18.28515625" style="25" customWidth="1"/>
    <col min="14" max="14" width="10.7109375" style="25" customWidth="1"/>
    <col min="15" max="15" width="1.28515625" style="25" customWidth="1"/>
    <col min="16" max="16" width="3.85546875" style="25" customWidth="1"/>
    <col min="17" max="18" width="11.28515625" style="25" hidden="1" customWidth="1"/>
    <col min="19" max="22" width="9" style="25" hidden="1" customWidth="1"/>
    <col min="23" max="24" width="30.42578125" style="25" hidden="1" customWidth="1"/>
    <col min="25" max="25" width="7.7109375" style="25" hidden="1" customWidth="1"/>
    <col min="26" max="27" width="21.42578125" style="25" hidden="1" customWidth="1"/>
    <col min="28" max="28" width="30.42578125" style="25" hidden="1" customWidth="1"/>
    <col min="29" max="29" width="37" style="25" hidden="1" customWidth="1"/>
    <col min="30" max="30" width="15" style="25" hidden="1" customWidth="1"/>
    <col min="31" max="31" width="24.85546875" style="25" hidden="1" customWidth="1"/>
    <col min="32" max="32" width="23.7109375" style="25" hidden="1" customWidth="1"/>
    <col min="33" max="33" width="30.5703125" style="25" hidden="1" customWidth="1"/>
    <col min="34" max="34" width="9" style="25" hidden="1" customWidth="1"/>
    <col min="35" max="36" width="12.7109375" style="25" hidden="1" customWidth="1"/>
    <col min="37" max="117" width="0" style="25" hidden="1" customWidth="1"/>
    <col min="118" max="119" width="11.28515625" style="25" hidden="1" customWidth="1"/>
    <col min="120" max="123" width="9" style="25" hidden="1" customWidth="1"/>
    <col min="124" max="125" width="30.42578125" style="25" hidden="1" customWidth="1"/>
    <col min="126" max="126" width="7.7109375" style="25" hidden="1" customWidth="1"/>
    <col min="127" max="128" width="21.42578125" style="25" hidden="1" customWidth="1"/>
    <col min="129" max="129" width="30.42578125" style="25" hidden="1" customWidth="1"/>
    <col min="130" max="130" width="37" style="25" hidden="1" customWidth="1"/>
    <col min="131" max="131" width="15" style="25" hidden="1" customWidth="1"/>
    <col min="132" max="132" width="24.85546875" style="25" hidden="1" customWidth="1"/>
    <col min="133" max="133" width="23.7109375" style="25" hidden="1" customWidth="1"/>
    <col min="134" max="134" width="30.5703125" style="25" hidden="1" customWidth="1"/>
    <col min="135" max="135" width="9" style="25" hidden="1" customWidth="1"/>
    <col min="136" max="137" width="12.7109375" style="25" hidden="1" customWidth="1"/>
    <col min="138" max="138" width="23.7109375" style="25" hidden="1" customWidth="1"/>
    <col min="139" max="139" width="30.5703125" style="25" hidden="1" customWidth="1"/>
    <col min="140" max="140" width="9" style="25" hidden="1" customWidth="1"/>
    <col min="141" max="142" width="12.7109375" style="25" hidden="1" customWidth="1"/>
    <col min="143" max="165" width="0" style="25" hidden="1" customWidth="1"/>
    <col min="166" max="167" width="11.28515625" style="25" hidden="1" customWidth="1"/>
    <col min="168" max="171" width="9" style="25" hidden="1" customWidth="1"/>
    <col min="172" max="173" width="30.42578125" style="25" hidden="1" customWidth="1"/>
    <col min="174" max="174" width="7.7109375" style="25" hidden="1" customWidth="1"/>
    <col min="175" max="176" width="21.42578125" style="25" hidden="1" customWidth="1"/>
    <col min="177" max="177" width="30.42578125" style="25" hidden="1" customWidth="1"/>
    <col min="178" max="178" width="37" style="25" hidden="1" customWidth="1"/>
    <col min="179" max="179" width="15" style="25" hidden="1" customWidth="1"/>
    <col min="180" max="180" width="24.85546875" style="25" hidden="1" customWidth="1"/>
    <col min="181" max="181" width="23.7109375" style="25" hidden="1" customWidth="1"/>
    <col min="182" max="182" width="30.5703125" style="25" hidden="1" customWidth="1"/>
    <col min="183" max="183" width="9" style="25" hidden="1" customWidth="1"/>
    <col min="184" max="185" width="12.7109375" style="25" hidden="1" customWidth="1"/>
    <col min="186" max="186" width="23.7109375" style="25" hidden="1" customWidth="1"/>
    <col min="187" max="187" width="30.5703125" style="25" hidden="1" customWidth="1"/>
    <col min="188" max="188" width="9" style="25" hidden="1" customWidth="1"/>
    <col min="189" max="192" width="12.7109375" style="25" hidden="1" customWidth="1"/>
    <col min="193" max="205" width="0" style="25" hidden="1" customWidth="1"/>
    <col min="206" max="207" width="11.28515625" style="25" hidden="1" customWidth="1"/>
    <col min="208" max="211" width="9" style="25" hidden="1" customWidth="1"/>
    <col min="212" max="213" width="30.42578125" style="25" hidden="1" customWidth="1"/>
    <col min="214" max="214" width="7.7109375" style="25" hidden="1" customWidth="1"/>
    <col min="215" max="216" width="21.42578125" style="25" hidden="1" customWidth="1"/>
    <col min="217" max="217" width="30.42578125" style="25" hidden="1" customWidth="1"/>
    <col min="218" max="218" width="37" style="25" hidden="1" customWidth="1"/>
    <col min="219" max="219" width="15" style="25" hidden="1" customWidth="1"/>
    <col min="220" max="220" width="24.85546875" style="25" hidden="1" customWidth="1"/>
    <col min="221" max="221" width="23.7109375" style="25" hidden="1" customWidth="1"/>
    <col min="222" max="222" width="30.5703125" style="25" hidden="1" customWidth="1"/>
    <col min="223" max="223" width="9" style="25" hidden="1" customWidth="1"/>
    <col min="224" max="225" width="12.7109375" style="25" hidden="1" customWidth="1"/>
    <col min="226" max="306" width="0" style="25" hidden="1" customWidth="1"/>
    <col min="307" max="308" width="11.28515625" style="25" hidden="1" customWidth="1"/>
    <col min="309" max="312" width="9" style="25" hidden="1" customWidth="1"/>
    <col min="313" max="314" width="30.42578125" style="25" hidden="1" customWidth="1"/>
    <col min="315" max="315" width="7.7109375" style="25" hidden="1" customWidth="1"/>
    <col min="316" max="317" width="21.42578125" style="25" hidden="1" customWidth="1"/>
    <col min="318" max="318" width="30.42578125" style="25" hidden="1" customWidth="1"/>
    <col min="319" max="319" width="37" style="25" hidden="1" customWidth="1"/>
    <col min="320" max="320" width="15" style="25" hidden="1" customWidth="1"/>
    <col min="321" max="321" width="24.85546875" style="25" hidden="1" customWidth="1"/>
    <col min="322" max="322" width="23.7109375" style="25" hidden="1" customWidth="1"/>
    <col min="323" max="323" width="30.5703125" style="25" hidden="1" customWidth="1"/>
    <col min="324" max="324" width="9" style="25" hidden="1" customWidth="1"/>
    <col min="325" max="326" width="12.7109375" style="25" hidden="1" customWidth="1"/>
    <col min="327" max="327" width="23.7109375" style="25" hidden="1" customWidth="1"/>
    <col min="328" max="328" width="30.5703125" style="25" hidden="1" customWidth="1"/>
    <col min="329" max="329" width="9" style="25" hidden="1" customWidth="1"/>
    <col min="330" max="331" width="12.7109375" style="25" hidden="1" customWidth="1"/>
    <col min="332" max="354" width="0" style="25" hidden="1" customWidth="1"/>
    <col min="355" max="356" width="11.28515625" style="25" hidden="1" customWidth="1"/>
    <col min="357" max="360" width="9" style="25" hidden="1" customWidth="1"/>
    <col min="361" max="362" width="30.42578125" style="25" hidden="1" customWidth="1"/>
    <col min="363" max="363" width="7.7109375" style="25" hidden="1" customWidth="1"/>
    <col min="364" max="365" width="21.42578125" style="25" hidden="1" customWidth="1"/>
    <col min="366" max="366" width="30.42578125" style="25" hidden="1" customWidth="1"/>
    <col min="367" max="367" width="37" style="25" hidden="1" customWidth="1"/>
    <col min="368" max="368" width="15" style="25" hidden="1" customWidth="1"/>
    <col min="369" max="369" width="24.85546875" style="25" hidden="1" customWidth="1"/>
    <col min="370" max="370" width="23.7109375" style="25" hidden="1" customWidth="1"/>
    <col min="371" max="371" width="30.5703125" style="25" hidden="1" customWidth="1"/>
    <col min="372" max="372" width="9" style="25" hidden="1" customWidth="1"/>
    <col min="373" max="374" width="12.7109375" style="25" hidden="1" customWidth="1"/>
    <col min="375" max="375" width="23.7109375" style="25" hidden="1" customWidth="1"/>
    <col min="376" max="376" width="30.5703125" style="25" hidden="1" customWidth="1"/>
    <col min="377" max="377" width="9" style="25" hidden="1" customWidth="1"/>
    <col min="378" max="381" width="12.7109375" style="25" hidden="1" customWidth="1"/>
    <col min="382" max="382" width="9" style="25" hidden="1" customWidth="1"/>
    <col min="383" max="384" width="12.7109375" style="25" hidden="1" customWidth="1"/>
    <col min="385" max="465" width="0" style="25" hidden="1" customWidth="1"/>
    <col min="466" max="467" width="11.28515625" style="25" hidden="1" customWidth="1"/>
    <col min="468" max="471" width="9" style="25" hidden="1" customWidth="1"/>
    <col min="472" max="473" width="30.42578125" style="25" hidden="1" customWidth="1"/>
    <col min="474" max="474" width="7.7109375" style="25" hidden="1" customWidth="1"/>
    <col min="475" max="476" width="21.42578125" style="25" hidden="1" customWidth="1"/>
    <col min="477" max="477" width="30.42578125" style="25" hidden="1" customWidth="1"/>
    <col min="478" max="478" width="37" style="25" hidden="1" customWidth="1"/>
    <col min="479" max="479" width="15" style="25" hidden="1" customWidth="1"/>
    <col min="480" max="480" width="24.85546875" style="25" hidden="1" customWidth="1"/>
    <col min="481" max="481" width="23.7109375" style="25" hidden="1" customWidth="1"/>
    <col min="482" max="482" width="30.5703125" style="25" hidden="1" customWidth="1"/>
    <col min="483" max="483" width="9" style="25" hidden="1" customWidth="1"/>
    <col min="484" max="485" width="12.7109375" style="25" hidden="1" customWidth="1"/>
    <col min="486" max="486" width="23.7109375" style="25" hidden="1" customWidth="1"/>
    <col min="487" max="487" width="30.5703125" style="25" hidden="1" customWidth="1"/>
    <col min="488" max="488" width="9" style="25" hidden="1" customWidth="1"/>
    <col min="489" max="490" width="12.7109375" style="25" hidden="1" customWidth="1"/>
    <col min="491" max="513" width="0" style="25" hidden="1" customWidth="1"/>
    <col min="514" max="515" width="11.28515625" style="25" hidden="1" customWidth="1"/>
    <col min="516" max="519" width="9" style="25" hidden="1" customWidth="1"/>
    <col min="520" max="521" width="30.42578125" style="25" hidden="1" customWidth="1"/>
    <col min="522" max="522" width="7.7109375" style="25" hidden="1" customWidth="1"/>
    <col min="523" max="524" width="21.42578125" style="25" hidden="1" customWidth="1"/>
    <col min="525" max="525" width="30.42578125" style="25" hidden="1" customWidth="1"/>
    <col min="526" max="526" width="37" style="25" hidden="1" customWidth="1"/>
    <col min="527" max="527" width="15" style="25" hidden="1" customWidth="1"/>
    <col min="528" max="528" width="24.85546875" style="25" hidden="1" customWidth="1"/>
    <col min="529" max="529" width="23.7109375" style="25" hidden="1" customWidth="1"/>
    <col min="530" max="530" width="30.5703125" style="25" hidden="1" customWidth="1"/>
    <col min="531" max="531" width="9" style="25" hidden="1" customWidth="1"/>
    <col min="532" max="533" width="12.7109375" style="25" hidden="1" customWidth="1"/>
    <col min="534" max="534" width="23.7109375" style="25" hidden="1" customWidth="1"/>
    <col min="535" max="535" width="30.5703125" style="25" hidden="1" customWidth="1"/>
    <col min="536" max="536" width="9" style="25" hidden="1" customWidth="1"/>
    <col min="537" max="577" width="12.7109375" style="25" hidden="1" customWidth="1"/>
    <col min="578" max="578" width="30.42578125" style="25" hidden="1" customWidth="1"/>
    <col min="579" max="579" width="7.7109375" style="25" hidden="1" customWidth="1"/>
    <col min="580" max="581" width="21.42578125" style="25" hidden="1" customWidth="1"/>
    <col min="582" max="582" width="30.42578125" style="25" hidden="1" customWidth="1"/>
    <col min="583" max="583" width="37" style="25" hidden="1" customWidth="1"/>
    <col min="584" max="584" width="15" style="25" hidden="1" customWidth="1"/>
    <col min="585" max="585" width="24.85546875" style="25" hidden="1" customWidth="1"/>
    <col min="586" max="586" width="23.7109375" style="25" hidden="1" customWidth="1"/>
    <col min="587" max="587" width="30.5703125" style="25" hidden="1" customWidth="1"/>
    <col min="588" max="588" width="9" style="25" hidden="1" customWidth="1"/>
    <col min="589" max="590" width="12.7109375" style="25" hidden="1" customWidth="1"/>
    <col min="591" max="591" width="23.7109375" style="25" hidden="1" customWidth="1"/>
    <col min="592" max="592" width="30.5703125" style="25" hidden="1" customWidth="1"/>
    <col min="593" max="593" width="9" style="25" hidden="1" customWidth="1"/>
    <col min="594" max="595" width="12.7109375" style="25" hidden="1" customWidth="1"/>
    <col min="596" max="618" width="0" style="25" hidden="1" customWidth="1"/>
    <col min="619" max="620" width="11.28515625" style="25" hidden="1" customWidth="1"/>
    <col min="621" max="624" width="9" style="25" hidden="1" customWidth="1"/>
    <col min="625" max="626" width="30.42578125" style="25" hidden="1" customWidth="1"/>
    <col min="627" max="627" width="7.7109375" style="25" hidden="1" customWidth="1"/>
    <col min="628" max="629" width="21.42578125" style="25" hidden="1" customWidth="1"/>
    <col min="630" max="630" width="30.42578125" style="25" hidden="1" customWidth="1"/>
    <col min="631" max="631" width="37" style="25" hidden="1" customWidth="1"/>
    <col min="632" max="632" width="15" style="25" hidden="1" customWidth="1"/>
    <col min="633" max="633" width="24.85546875" style="25" hidden="1" customWidth="1"/>
    <col min="634" max="634" width="23.7109375" style="25" hidden="1" customWidth="1"/>
    <col min="635" max="635" width="30.5703125" style="25" hidden="1" customWidth="1"/>
    <col min="636" max="636" width="9" style="25" hidden="1" customWidth="1"/>
    <col min="637" max="638" width="12.7109375" style="25" hidden="1" customWidth="1"/>
    <col min="639" max="639" width="23.7109375" style="25" hidden="1" customWidth="1"/>
    <col min="640" max="640" width="30.5703125" style="25" hidden="1" customWidth="1"/>
    <col min="641" max="641" width="9" style="25" hidden="1" customWidth="1"/>
    <col min="642" max="684" width="12.7109375" style="25" hidden="1" customWidth="1"/>
    <col min="685" max="685" width="23.7109375" style="25" hidden="1" customWidth="1"/>
    <col min="686" max="686" width="30.5703125" style="25" hidden="1" customWidth="1"/>
    <col min="687" max="687" width="9" style="25" hidden="1" customWidth="1"/>
    <col min="688" max="749" width="12.7109375" style="25" hidden="1" customWidth="1"/>
    <col min="750" max="750" width="30.5703125" style="25" hidden="1" customWidth="1"/>
    <col min="751" max="751" width="9" style="25" hidden="1" customWidth="1"/>
    <col min="752" max="753" width="12.7109375" style="25" hidden="1" customWidth="1"/>
    <col min="754" max="776" width="0" style="25" hidden="1" customWidth="1"/>
    <col min="777" max="778" width="11.28515625" style="25" hidden="1" customWidth="1"/>
    <col min="779" max="782" width="9" style="25" hidden="1" customWidth="1"/>
    <col min="783" max="784" width="30.42578125" style="25" hidden="1" customWidth="1"/>
    <col min="785" max="785" width="7.7109375" style="25" hidden="1" customWidth="1"/>
    <col min="786" max="787" width="21.42578125" style="25" hidden="1" customWidth="1"/>
    <col min="788" max="788" width="30.42578125" style="25" hidden="1" customWidth="1"/>
    <col min="789" max="789" width="37" style="25" hidden="1" customWidth="1"/>
    <col min="790" max="790" width="15" style="25" hidden="1" customWidth="1"/>
    <col min="791" max="791" width="24.85546875" style="25" hidden="1" customWidth="1"/>
    <col min="792" max="792" width="23.7109375" style="25" hidden="1" customWidth="1"/>
    <col min="793" max="793" width="30.5703125" style="25" hidden="1" customWidth="1"/>
    <col min="794" max="794" width="9" style="25" hidden="1" customWidth="1"/>
    <col min="795" max="796" width="12.7109375" style="25" hidden="1" customWidth="1"/>
    <col min="797" max="797" width="23.7109375" style="25" hidden="1" customWidth="1"/>
    <col min="798" max="798" width="30.5703125" style="25" hidden="1" customWidth="1"/>
    <col min="799" max="799" width="9" style="25" hidden="1" customWidth="1"/>
    <col min="800" max="842" width="12.7109375" style="25" hidden="1" customWidth="1"/>
    <col min="843" max="843" width="23.7109375" style="25" hidden="1" customWidth="1"/>
    <col min="844" max="844" width="30.5703125" style="25" hidden="1" customWidth="1"/>
    <col min="845" max="845" width="9" style="25" hidden="1" customWidth="1"/>
    <col min="846" max="910" width="12.7109375" style="25" hidden="1" customWidth="1"/>
    <col min="911" max="16384" width="9" style="25" hidden="1"/>
  </cols>
  <sheetData>
    <row r="1" spans="1:17" ht="17.25" customHeight="1" thickBot="1" x14ac:dyDescent="0.3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</row>
    <row r="2" spans="1:17" ht="10.15" customHeight="1" x14ac:dyDescent="0.25">
      <c r="A2" s="26">
        <f>IF(ISERROR(MATCH(2045.12,6:6,0)),0,MATCH(2045.12,6:6,0))</f>
        <v>0</v>
      </c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9"/>
    </row>
    <row r="3" spans="1:17" ht="31.5" customHeight="1" x14ac:dyDescent="0.25">
      <c r="A3" s="26">
        <f>+COUNTA(C:C)-1</f>
        <v>86</v>
      </c>
      <c r="B3" s="30"/>
      <c r="C3" s="31" t="s">
        <v>264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2"/>
      <c r="P3" s="29"/>
    </row>
    <row r="4" spans="1:17" ht="79.5" customHeight="1" x14ac:dyDescent="0.25">
      <c r="A4" s="33"/>
      <c r="B4" s="30"/>
      <c r="P4" s="29"/>
    </row>
    <row r="5" spans="1:17" ht="15.75" thickBot="1" x14ac:dyDescent="0.3">
      <c r="A5" s="34"/>
      <c r="B5" s="30"/>
      <c r="C5"/>
      <c r="D5"/>
      <c r="F5"/>
      <c r="H5"/>
      <c r="I5"/>
      <c r="J5"/>
      <c r="K5"/>
      <c r="L5"/>
      <c r="M5"/>
      <c r="N5"/>
      <c r="P5" s="29"/>
    </row>
    <row r="6" spans="1:17" ht="16.5" thickBot="1" x14ac:dyDescent="0.3">
      <c r="A6" s="34"/>
      <c r="B6" s="30"/>
      <c r="C6" s="35" t="s">
        <v>97</v>
      </c>
      <c r="D6" s="35" t="s">
        <v>266</v>
      </c>
      <c r="F6" s="35" t="s">
        <v>265</v>
      </c>
      <c r="H6"/>
      <c r="I6"/>
      <c r="J6"/>
      <c r="K6"/>
      <c r="L6"/>
      <c r="M6"/>
      <c r="N6"/>
      <c r="P6" s="29"/>
      <c r="Q6" s="37"/>
    </row>
    <row r="7" spans="1:17" ht="15" x14ac:dyDescent="0.25">
      <c r="A7" s="34"/>
      <c r="B7" s="30"/>
      <c r="C7" s="42">
        <f>+'Clients Projection'!E$6</f>
        <v>2018.12</v>
      </c>
      <c r="D7" s="52">
        <v>23.2</v>
      </c>
      <c r="F7" s="62">
        <v>2</v>
      </c>
      <c r="H7"/>
      <c r="I7"/>
      <c r="J7"/>
      <c r="K7"/>
      <c r="L7"/>
      <c r="M7"/>
      <c r="N7"/>
      <c r="P7" s="29"/>
      <c r="Q7" s="37"/>
    </row>
    <row r="8" spans="1:17" ht="15" x14ac:dyDescent="0.25">
      <c r="A8" s="34"/>
      <c r="B8" s="30"/>
      <c r="C8" s="43">
        <f>+'Clients Projection'!F$6</f>
        <v>2019.01</v>
      </c>
      <c r="D8" s="63">
        <f>+D7*1.01</f>
        <v>23.431999999999999</v>
      </c>
      <c r="F8" s="63">
        <f>+F7*1.01</f>
        <v>2.02</v>
      </c>
      <c r="H8"/>
      <c r="I8"/>
      <c r="J8"/>
      <c r="K8"/>
      <c r="L8"/>
      <c r="M8"/>
      <c r="N8"/>
      <c r="P8" s="29"/>
      <c r="Q8" s="37"/>
    </row>
    <row r="9" spans="1:17" ht="15" x14ac:dyDescent="0.25">
      <c r="A9" s="34"/>
      <c r="B9" s="30"/>
      <c r="C9" s="43">
        <f>+'Clients Projection'!G$6</f>
        <v>2019.02</v>
      </c>
      <c r="D9" s="63">
        <f t="shared" ref="D9:F72" si="0">+D8*1.01</f>
        <v>23.666319999999999</v>
      </c>
      <c r="F9" s="63">
        <f t="shared" si="0"/>
        <v>2.0402</v>
      </c>
      <c r="H9"/>
      <c r="I9"/>
      <c r="J9"/>
      <c r="K9"/>
      <c r="L9"/>
      <c r="M9"/>
      <c r="N9"/>
      <c r="P9" s="29"/>
      <c r="Q9" s="37"/>
    </row>
    <row r="10" spans="1:17" ht="15" x14ac:dyDescent="0.25">
      <c r="A10" s="34"/>
      <c r="B10" s="30"/>
      <c r="C10" s="43">
        <f>+'Clients Projection'!H$6</f>
        <v>2019.03</v>
      </c>
      <c r="D10" s="63">
        <f t="shared" si="0"/>
        <v>23.902983199999998</v>
      </c>
      <c r="E10" s="46"/>
      <c r="F10" s="63">
        <f t="shared" si="0"/>
        <v>2.0606019999999998</v>
      </c>
      <c r="H10"/>
      <c r="I10"/>
      <c r="J10"/>
      <c r="K10"/>
      <c r="L10"/>
      <c r="M10"/>
      <c r="N10"/>
      <c r="P10" s="29"/>
      <c r="Q10" s="37"/>
    </row>
    <row r="11" spans="1:17" ht="15" x14ac:dyDescent="0.25">
      <c r="A11" s="34"/>
      <c r="B11" s="30"/>
      <c r="C11" s="43">
        <f>+'Clients Projection'!I$6</f>
        <v>2019.04</v>
      </c>
      <c r="D11" s="63">
        <f t="shared" si="0"/>
        <v>24.142013031999998</v>
      </c>
      <c r="E11" s="46"/>
      <c r="F11" s="63">
        <f t="shared" si="0"/>
        <v>2.08120802</v>
      </c>
      <c r="H11"/>
      <c r="I11"/>
      <c r="J11"/>
      <c r="K11"/>
      <c r="L11"/>
      <c r="M11"/>
      <c r="N11"/>
      <c r="P11" s="29"/>
      <c r="Q11" s="37"/>
    </row>
    <row r="12" spans="1:17" ht="15" x14ac:dyDescent="0.25">
      <c r="A12" s="34"/>
      <c r="B12" s="30"/>
      <c r="C12" s="43">
        <f>+'Clients Projection'!J$6</f>
        <v>2019.05</v>
      </c>
      <c r="D12" s="63">
        <f t="shared" si="0"/>
        <v>24.383433162319999</v>
      </c>
      <c r="E12" s="46"/>
      <c r="F12" s="63">
        <f t="shared" si="0"/>
        <v>2.1020201001999999</v>
      </c>
      <c r="H12"/>
      <c r="I12"/>
      <c r="J12"/>
      <c r="K12"/>
      <c r="L12"/>
      <c r="M12"/>
      <c r="N12"/>
      <c r="P12" s="29"/>
      <c r="Q12" s="37"/>
    </row>
    <row r="13" spans="1:17" ht="15" x14ac:dyDescent="0.25">
      <c r="A13" s="34"/>
      <c r="B13" s="30"/>
      <c r="C13" s="43">
        <f>+'Clients Projection'!K$6</f>
        <v>2019.06</v>
      </c>
      <c r="D13" s="63">
        <f t="shared" si="0"/>
        <v>24.627267493943201</v>
      </c>
      <c r="E13" s="46"/>
      <c r="F13" s="63">
        <f t="shared" si="0"/>
        <v>2.1230403012019998</v>
      </c>
      <c r="H13"/>
      <c r="I13"/>
      <c r="J13"/>
      <c r="K13"/>
      <c r="L13"/>
      <c r="M13"/>
      <c r="N13"/>
      <c r="P13" s="29"/>
      <c r="Q13" s="37"/>
    </row>
    <row r="14" spans="1:17" ht="15" x14ac:dyDescent="0.25">
      <c r="A14" s="34"/>
      <c r="B14" s="30"/>
      <c r="C14" s="43">
        <f>+'Clients Projection'!L$6</f>
        <v>2019.07</v>
      </c>
      <c r="D14" s="63">
        <f t="shared" si="0"/>
        <v>24.873540168882634</v>
      </c>
      <c r="E14" s="46"/>
      <c r="F14" s="63">
        <f t="shared" si="0"/>
        <v>2.1442707042140197</v>
      </c>
      <c r="H14"/>
      <c r="I14"/>
      <c r="J14"/>
      <c r="K14"/>
      <c r="L14"/>
      <c r="M14"/>
      <c r="N14"/>
      <c r="P14" s="29"/>
      <c r="Q14" s="37"/>
    </row>
    <row r="15" spans="1:17" ht="15" x14ac:dyDescent="0.25">
      <c r="A15" s="34"/>
      <c r="B15" s="30"/>
      <c r="C15" s="43">
        <f>+'Clients Projection'!M$6</f>
        <v>2019.08</v>
      </c>
      <c r="D15" s="63">
        <f t="shared" si="0"/>
        <v>25.12227557057146</v>
      </c>
      <c r="E15" s="46"/>
      <c r="F15" s="63">
        <f t="shared" si="0"/>
        <v>2.16571341125616</v>
      </c>
      <c r="H15"/>
      <c r="I15"/>
      <c r="J15"/>
      <c r="K15"/>
      <c r="L15"/>
      <c r="M15"/>
      <c r="N15"/>
      <c r="P15" s="29"/>
      <c r="Q15" s="37"/>
    </row>
    <row r="16" spans="1:17" ht="15" x14ac:dyDescent="0.25">
      <c r="A16" s="34"/>
      <c r="B16" s="30"/>
      <c r="C16" s="43">
        <f>+'Clients Projection'!N$6</f>
        <v>2019.09</v>
      </c>
      <c r="D16" s="63">
        <f t="shared" si="0"/>
        <v>25.373498326277176</v>
      </c>
      <c r="E16" s="46"/>
      <c r="F16" s="63">
        <f t="shared" si="0"/>
        <v>2.1873705453687218</v>
      </c>
      <c r="H16"/>
      <c r="I16"/>
      <c r="J16"/>
      <c r="K16"/>
      <c r="L16"/>
      <c r="M16"/>
      <c r="N16"/>
      <c r="P16" s="29"/>
      <c r="Q16" s="37"/>
    </row>
    <row r="17" spans="1:17" ht="15" x14ac:dyDescent="0.25">
      <c r="A17" s="34"/>
      <c r="B17" s="30"/>
      <c r="C17" s="43">
        <f>+'Clients Projection'!O$6</f>
        <v>2019.1</v>
      </c>
      <c r="D17" s="63">
        <f t="shared" si="0"/>
        <v>25.627233309539946</v>
      </c>
      <c r="E17" s="46"/>
      <c r="F17" s="63">
        <f t="shared" si="0"/>
        <v>2.2092442508224091</v>
      </c>
      <c r="H17"/>
      <c r="I17"/>
      <c r="J17"/>
      <c r="K17"/>
      <c r="L17"/>
      <c r="M17"/>
      <c r="N17"/>
      <c r="P17" s="29"/>
      <c r="Q17" s="37"/>
    </row>
    <row r="18" spans="1:17" ht="15" x14ac:dyDescent="0.25">
      <c r="A18" s="34"/>
      <c r="B18" s="30"/>
      <c r="C18" s="43">
        <f>+'Clients Projection'!P$6</f>
        <v>2019.11</v>
      </c>
      <c r="D18" s="63">
        <f t="shared" si="0"/>
        <v>25.883505642635345</v>
      </c>
      <c r="E18" s="46"/>
      <c r="F18" s="63">
        <f t="shared" si="0"/>
        <v>2.2313366933306331</v>
      </c>
      <c r="H18"/>
      <c r="I18"/>
      <c r="J18"/>
      <c r="K18"/>
      <c r="L18"/>
      <c r="M18"/>
      <c r="N18"/>
      <c r="P18" s="29"/>
      <c r="Q18" s="37"/>
    </row>
    <row r="19" spans="1:17" ht="15" x14ac:dyDescent="0.25">
      <c r="A19" s="34"/>
      <c r="B19" s="30"/>
      <c r="C19" s="43">
        <f>+'Clients Projection'!Q$6</f>
        <v>2019.12</v>
      </c>
      <c r="D19" s="63">
        <f t="shared" si="0"/>
        <v>26.142340699061698</v>
      </c>
      <c r="E19" s="46"/>
      <c r="F19" s="63">
        <f t="shared" si="0"/>
        <v>2.2536500602639395</v>
      </c>
      <c r="H19"/>
      <c r="I19"/>
      <c r="J19"/>
      <c r="K19"/>
      <c r="L19"/>
      <c r="M19"/>
      <c r="N19"/>
      <c r="P19" s="29"/>
      <c r="Q19" s="37"/>
    </row>
    <row r="20" spans="1:17" ht="15" x14ac:dyDescent="0.25">
      <c r="A20" s="34"/>
      <c r="B20" s="30"/>
      <c r="C20" s="43">
        <f>+'Clients Projection'!R$6</f>
        <v>2020.01</v>
      </c>
      <c r="D20" s="63">
        <f t="shared" si="0"/>
        <v>26.403764106052314</v>
      </c>
      <c r="E20" s="46"/>
      <c r="F20" s="63">
        <f t="shared" si="0"/>
        <v>2.276186560866579</v>
      </c>
      <c r="H20"/>
      <c r="I20"/>
      <c r="J20"/>
      <c r="K20"/>
      <c r="L20"/>
      <c r="M20"/>
      <c r="N20"/>
      <c r="P20" s="29"/>
      <c r="Q20" s="37"/>
    </row>
    <row r="21" spans="1:17" ht="15" x14ac:dyDescent="0.25">
      <c r="A21" s="34"/>
      <c r="B21" s="30"/>
      <c r="C21" s="43">
        <f>+'Clients Projection'!S$6</f>
        <v>2020.02</v>
      </c>
      <c r="D21" s="63">
        <f t="shared" si="0"/>
        <v>26.667801747112836</v>
      </c>
      <c r="E21" s="46"/>
      <c r="F21" s="63">
        <f t="shared" si="0"/>
        <v>2.2989484264752447</v>
      </c>
      <c r="H21"/>
      <c r="I21"/>
      <c r="J21"/>
      <c r="K21"/>
      <c r="L21"/>
      <c r="M21"/>
      <c r="N21"/>
      <c r="P21" s="29"/>
      <c r="Q21" s="37"/>
    </row>
    <row r="22" spans="1:17" ht="15" x14ac:dyDescent="0.25">
      <c r="A22" s="34"/>
      <c r="B22" s="30"/>
      <c r="C22" s="43">
        <f>+'Clients Projection'!T$6</f>
        <v>2020.03</v>
      </c>
      <c r="D22" s="63">
        <f t="shared" si="0"/>
        <v>26.934479764583966</v>
      </c>
      <c r="E22" s="46"/>
      <c r="F22" s="63">
        <f t="shared" si="0"/>
        <v>2.3219379107399973</v>
      </c>
      <c r="H22"/>
      <c r="I22"/>
      <c r="J22"/>
      <c r="K22"/>
      <c r="L22"/>
      <c r="M22"/>
      <c r="N22"/>
      <c r="P22" s="29"/>
      <c r="Q22" s="37"/>
    </row>
    <row r="23" spans="1:17" ht="15" x14ac:dyDescent="0.25">
      <c r="A23" s="34"/>
      <c r="B23" s="30"/>
      <c r="C23" s="43">
        <f>+'Clients Projection'!U$6</f>
        <v>2020.04</v>
      </c>
      <c r="D23" s="63">
        <f t="shared" si="0"/>
        <v>27.203824562229805</v>
      </c>
      <c r="E23" s="46"/>
      <c r="F23" s="63">
        <f t="shared" si="0"/>
        <v>2.3451572898473971</v>
      </c>
      <c r="H23"/>
      <c r="I23"/>
      <c r="J23"/>
      <c r="K23"/>
      <c r="L23"/>
      <c r="M23"/>
      <c r="N23"/>
      <c r="P23" s="29"/>
      <c r="Q23" s="37"/>
    </row>
    <row r="24" spans="1:17" ht="15" x14ac:dyDescent="0.25">
      <c r="A24" s="34"/>
      <c r="B24" s="30"/>
      <c r="C24" s="43">
        <f>+'Clients Projection'!V$6</f>
        <v>2020.05</v>
      </c>
      <c r="D24" s="63">
        <f t="shared" si="0"/>
        <v>27.475862807852103</v>
      </c>
      <c r="E24" s="46"/>
      <c r="F24" s="63">
        <f t="shared" si="0"/>
        <v>2.3686088627458712</v>
      </c>
      <c r="H24"/>
      <c r="I24"/>
      <c r="J24"/>
      <c r="K24"/>
      <c r="L24"/>
      <c r="M24"/>
      <c r="N24"/>
      <c r="P24" s="29"/>
      <c r="Q24" s="37"/>
    </row>
    <row r="25" spans="1:17" ht="15" x14ac:dyDescent="0.25">
      <c r="A25" s="34"/>
      <c r="B25" s="30"/>
      <c r="C25" s="43">
        <f>+'Clients Projection'!W$6</f>
        <v>2020.06</v>
      </c>
      <c r="D25" s="63">
        <f t="shared" si="0"/>
        <v>27.750621435930626</v>
      </c>
      <c r="E25" s="46"/>
      <c r="F25" s="63">
        <f t="shared" si="0"/>
        <v>2.39229495137333</v>
      </c>
      <c r="M25" s="41"/>
      <c r="N25"/>
      <c r="P25" s="29"/>
      <c r="Q25" s="37"/>
    </row>
    <row r="26" spans="1:17" ht="15" x14ac:dyDescent="0.25">
      <c r="A26" s="34"/>
      <c r="B26" s="30"/>
      <c r="C26" s="43">
        <f>+'Clients Projection'!X$6</f>
        <v>2020.07</v>
      </c>
      <c r="D26" s="63">
        <f t="shared" si="0"/>
        <v>28.028127650289932</v>
      </c>
      <c r="E26" s="46"/>
      <c r="F26" s="63">
        <f t="shared" si="0"/>
        <v>2.4162179008870632</v>
      </c>
      <c r="M26" s="41"/>
      <c r="N26"/>
      <c r="P26" s="29"/>
      <c r="Q26" s="37"/>
    </row>
    <row r="27" spans="1:17" ht="15" x14ac:dyDescent="0.25">
      <c r="A27" s="34"/>
      <c r="B27" s="30"/>
      <c r="C27" s="43">
        <f>+'Clients Projection'!Y$6</f>
        <v>2020.08</v>
      </c>
      <c r="D27" s="63">
        <f t="shared" si="0"/>
        <v>28.308408926792833</v>
      </c>
      <c r="E27" s="46"/>
      <c r="F27" s="63">
        <f t="shared" si="0"/>
        <v>2.4403800798959341</v>
      </c>
      <c r="M27" s="41"/>
      <c r="N27"/>
      <c r="P27" s="29"/>
      <c r="Q27" s="37"/>
    </row>
    <row r="28" spans="1:17" ht="15" x14ac:dyDescent="0.25">
      <c r="A28" s="34"/>
      <c r="B28" s="30"/>
      <c r="C28" s="43">
        <f>+'Clients Projection'!Z$6</f>
        <v>2020.09</v>
      </c>
      <c r="D28" s="63">
        <f t="shared" si="0"/>
        <v>28.59149301606076</v>
      </c>
      <c r="E28" s="46"/>
      <c r="F28" s="63">
        <f t="shared" si="0"/>
        <v>2.4647838806948936</v>
      </c>
      <c r="M28" s="41"/>
      <c r="N28"/>
      <c r="P28" s="29"/>
      <c r="Q28" s="37"/>
    </row>
    <row r="29" spans="1:17" ht="15" x14ac:dyDescent="0.25">
      <c r="A29" s="34"/>
      <c r="B29" s="30"/>
      <c r="C29" s="43">
        <f>+'Clients Projection'!AA$6</f>
        <v>2020.1</v>
      </c>
      <c r="D29" s="63">
        <f t="shared" si="0"/>
        <v>28.877407946221368</v>
      </c>
      <c r="E29" s="46"/>
      <c r="F29" s="63">
        <f t="shared" si="0"/>
        <v>2.4894317195018427</v>
      </c>
      <c r="M29" s="41"/>
      <c r="N29"/>
      <c r="P29" s="29"/>
      <c r="Q29" s="37"/>
    </row>
    <row r="30" spans="1:17" ht="15" x14ac:dyDescent="0.25">
      <c r="A30" s="34"/>
      <c r="B30" s="30"/>
      <c r="C30" s="43">
        <f>+'Clients Projection'!AB$6</f>
        <v>2020.11</v>
      </c>
      <c r="D30" s="63">
        <f t="shared" si="0"/>
        <v>29.166182025683582</v>
      </c>
      <c r="E30" s="46"/>
      <c r="F30" s="63">
        <f t="shared" si="0"/>
        <v>2.5143260366968612</v>
      </c>
      <c r="M30" s="41"/>
      <c r="N30"/>
      <c r="P30" s="29"/>
      <c r="Q30" s="37"/>
    </row>
    <row r="31" spans="1:17" ht="15" x14ac:dyDescent="0.25">
      <c r="A31" s="34"/>
      <c r="B31" s="30"/>
      <c r="C31" s="43">
        <f>+'Clients Projection'!AC$6</f>
        <v>2020.12</v>
      </c>
      <c r="D31" s="63">
        <f t="shared" si="0"/>
        <v>29.457843845940417</v>
      </c>
      <c r="E31" s="46"/>
      <c r="F31" s="63">
        <f t="shared" si="0"/>
        <v>2.53946929706383</v>
      </c>
      <c r="M31" s="41"/>
      <c r="N31"/>
      <c r="P31" s="29"/>
      <c r="Q31" s="37"/>
    </row>
    <row r="32" spans="1:17" ht="15" x14ac:dyDescent="0.25">
      <c r="A32" s="34"/>
      <c r="B32" s="30"/>
      <c r="C32" s="43">
        <f>+'Clients Projection'!AD$6</f>
        <v>2021.01</v>
      </c>
      <c r="D32" s="63">
        <f t="shared" si="0"/>
        <v>29.75242228439982</v>
      </c>
      <c r="E32" s="46"/>
      <c r="F32" s="63">
        <f t="shared" si="0"/>
        <v>2.5648639900344681</v>
      </c>
      <c r="M32" s="41"/>
      <c r="N32"/>
      <c r="P32" s="29"/>
      <c r="Q32" s="37"/>
    </row>
    <row r="33" spans="1:17" ht="15" x14ac:dyDescent="0.25">
      <c r="A33" s="34"/>
      <c r="B33" s="30"/>
      <c r="C33" s="43">
        <f>+'Clients Projection'!AE$6</f>
        <v>2021.02</v>
      </c>
      <c r="D33" s="63">
        <f t="shared" si="0"/>
        <v>30.049946507243817</v>
      </c>
      <c r="E33" s="46"/>
      <c r="F33" s="63">
        <f t="shared" si="0"/>
        <v>2.5905126299348127</v>
      </c>
      <c r="M33" s="41"/>
      <c r="N33"/>
      <c r="P33" s="29"/>
      <c r="Q33" s="37"/>
    </row>
    <row r="34" spans="1:17" ht="15" x14ac:dyDescent="0.25">
      <c r="A34" s="34"/>
      <c r="B34" s="30"/>
      <c r="C34" s="43">
        <f>+'Clients Projection'!AF$6</f>
        <v>2021.03</v>
      </c>
      <c r="D34" s="63">
        <f t="shared" si="0"/>
        <v>30.350445972316255</v>
      </c>
      <c r="E34" s="46"/>
      <c r="F34" s="63">
        <f t="shared" si="0"/>
        <v>2.6164177562341608</v>
      </c>
      <c r="M34" s="41"/>
      <c r="N34"/>
      <c r="P34" s="29"/>
      <c r="Q34" s="37"/>
    </row>
    <row r="35" spans="1:17" ht="15" x14ac:dyDescent="0.25">
      <c r="A35" s="34"/>
      <c r="B35" s="30"/>
      <c r="C35" s="43">
        <f>+'Clients Projection'!AG$6</f>
        <v>2021.04</v>
      </c>
      <c r="D35" s="63">
        <f t="shared" si="0"/>
        <v>30.653950432039416</v>
      </c>
      <c r="E35" s="46"/>
      <c r="F35" s="63">
        <f t="shared" si="0"/>
        <v>2.6425819337965026</v>
      </c>
      <c r="M35" s="41"/>
      <c r="N35"/>
      <c r="P35" s="29"/>
      <c r="Q35" s="37"/>
    </row>
    <row r="36" spans="1:17" ht="15" x14ac:dyDescent="0.25">
      <c r="A36" s="34"/>
      <c r="B36" s="30"/>
      <c r="C36" s="43">
        <f>+'Clients Projection'!AH$6</f>
        <v>2021.05</v>
      </c>
      <c r="D36" s="63">
        <f t="shared" si="0"/>
        <v>30.96048993635981</v>
      </c>
      <c r="E36" s="46"/>
      <c r="F36" s="63">
        <f t="shared" si="0"/>
        <v>2.6690077531344678</v>
      </c>
      <c r="M36" s="41"/>
      <c r="N36"/>
      <c r="P36" s="29"/>
      <c r="Q36" s="37"/>
    </row>
    <row r="37" spans="1:17" ht="15" x14ac:dyDescent="0.25">
      <c r="A37" s="34"/>
      <c r="B37" s="30"/>
      <c r="C37" s="43">
        <f>+'Clients Projection'!AI$6</f>
        <v>2021.06</v>
      </c>
      <c r="D37" s="63">
        <f t="shared" si="0"/>
        <v>31.270094835723409</v>
      </c>
      <c r="E37" s="46"/>
      <c r="F37" s="63">
        <f t="shared" si="0"/>
        <v>2.6956978306658126</v>
      </c>
      <c r="M37" s="41"/>
      <c r="N37"/>
      <c r="P37" s="29"/>
      <c r="Q37" s="37"/>
    </row>
    <row r="38" spans="1:17" ht="15" x14ac:dyDescent="0.25">
      <c r="A38" s="34"/>
      <c r="B38" s="30"/>
      <c r="C38" s="43">
        <f>+'Clients Projection'!AJ$6</f>
        <v>2021.07</v>
      </c>
      <c r="D38" s="63">
        <f t="shared" si="0"/>
        <v>31.582795784080645</v>
      </c>
      <c r="E38" s="46"/>
      <c r="F38" s="63">
        <f t="shared" si="0"/>
        <v>2.7226548089724707</v>
      </c>
      <c r="M38" s="41"/>
      <c r="N38"/>
      <c r="P38" s="29"/>
      <c r="Q38" s="37"/>
    </row>
    <row r="39" spans="1:17" ht="15" x14ac:dyDescent="0.25">
      <c r="A39" s="34"/>
      <c r="B39" s="30"/>
      <c r="C39" s="43">
        <f>+'Clients Projection'!AK$6</f>
        <v>2021.08</v>
      </c>
      <c r="D39" s="63">
        <f t="shared" si="0"/>
        <v>31.898623741921451</v>
      </c>
      <c r="E39" s="46"/>
      <c r="F39" s="63">
        <f t="shared" si="0"/>
        <v>2.7498813570621956</v>
      </c>
      <c r="M39" s="41"/>
      <c r="N39"/>
      <c r="P39" s="29"/>
      <c r="Q39" s="37"/>
    </row>
    <row r="40" spans="1:17" ht="15" x14ac:dyDescent="0.25">
      <c r="A40" s="34"/>
      <c r="B40" s="30"/>
      <c r="C40" s="43">
        <f>+'Clients Projection'!AL$6</f>
        <v>2021.09</v>
      </c>
      <c r="D40" s="63">
        <f t="shared" si="0"/>
        <v>32.217609979340665</v>
      </c>
      <c r="E40" s="46"/>
      <c r="F40" s="63">
        <f t="shared" si="0"/>
        <v>2.7773801706328176</v>
      </c>
      <c r="M40" s="41"/>
      <c r="N40"/>
      <c r="P40" s="29"/>
      <c r="Q40" s="37"/>
    </row>
    <row r="41" spans="1:17" ht="15" x14ac:dyDescent="0.25">
      <c r="A41" s="34"/>
      <c r="B41" s="30"/>
      <c r="C41" s="43">
        <f>+'Clients Projection'!AM$6</f>
        <v>2021.1</v>
      </c>
      <c r="D41" s="63">
        <f t="shared" si="0"/>
        <v>32.539786079134075</v>
      </c>
      <c r="E41" s="46"/>
      <c r="F41" s="63">
        <f t="shared" si="0"/>
        <v>2.8051539723391459</v>
      </c>
      <c r="M41" s="41"/>
      <c r="N41"/>
      <c r="P41" s="29"/>
      <c r="Q41" s="37"/>
    </row>
    <row r="42" spans="1:17" ht="15" x14ac:dyDescent="0.25">
      <c r="A42" s="34"/>
      <c r="B42" s="30"/>
      <c r="C42" s="43">
        <f>+'Clients Projection'!AN$6</f>
        <v>2021.11</v>
      </c>
      <c r="D42" s="63">
        <f t="shared" si="0"/>
        <v>32.865183939925416</v>
      </c>
      <c r="E42" s="46"/>
      <c r="F42" s="63">
        <f t="shared" si="0"/>
        <v>2.8332055120625372</v>
      </c>
      <c r="M42" s="41"/>
      <c r="N42"/>
      <c r="P42" s="29"/>
      <c r="Q42" s="37"/>
    </row>
    <row r="43" spans="1:17" ht="15" x14ac:dyDescent="0.25">
      <c r="A43" s="34"/>
      <c r="B43" s="30"/>
      <c r="C43" s="43">
        <f>+'Clients Projection'!AO$6</f>
        <v>2021.12</v>
      </c>
      <c r="D43" s="63">
        <f t="shared" si="0"/>
        <v>33.193835779324672</v>
      </c>
      <c r="E43" s="46"/>
      <c r="F43" s="63">
        <f t="shared" si="0"/>
        <v>2.8615375671831624</v>
      </c>
      <c r="M43" s="41"/>
      <c r="N43"/>
      <c r="P43" s="29"/>
      <c r="Q43" s="37"/>
    </row>
    <row r="44" spans="1:17" ht="15" x14ac:dyDescent="0.25">
      <c r="A44" s="34"/>
      <c r="B44" s="30"/>
      <c r="C44" s="43">
        <f>+'Clients Projection'!AP$6</f>
        <v>2022.01</v>
      </c>
      <c r="D44" s="63">
        <f t="shared" si="0"/>
        <v>33.525774137117921</v>
      </c>
      <c r="E44" s="46"/>
      <c r="F44" s="63">
        <f t="shared" si="0"/>
        <v>2.8901529428549941</v>
      </c>
      <c r="M44" s="41"/>
      <c r="N44"/>
      <c r="P44" s="29"/>
      <c r="Q44" s="37"/>
    </row>
    <row r="45" spans="1:17" ht="15" x14ac:dyDescent="0.25">
      <c r="A45" s="34"/>
      <c r="B45" s="30"/>
      <c r="C45" s="43">
        <f>+'Clients Projection'!AQ$6</f>
        <v>2022.02</v>
      </c>
      <c r="D45" s="63">
        <f t="shared" si="0"/>
        <v>33.861031878489101</v>
      </c>
      <c r="E45" s="46"/>
      <c r="F45" s="63">
        <f t="shared" si="0"/>
        <v>2.9190544722835443</v>
      </c>
      <c r="M45" s="41"/>
      <c r="N45"/>
      <c r="P45" s="29"/>
      <c r="Q45" s="37"/>
    </row>
    <row r="46" spans="1:17" ht="15" x14ac:dyDescent="0.25">
      <c r="A46" s="34"/>
      <c r="B46" s="30"/>
      <c r="C46" s="43">
        <f>+'Clients Projection'!AR$6</f>
        <v>2022.03</v>
      </c>
      <c r="D46" s="63">
        <f t="shared" si="0"/>
        <v>34.199642197273995</v>
      </c>
      <c r="E46" s="46"/>
      <c r="F46" s="63">
        <f t="shared" si="0"/>
        <v>2.9482450170063799</v>
      </c>
      <c r="M46" s="41"/>
      <c r="N46"/>
      <c r="P46" s="29"/>
      <c r="Q46" s="37"/>
    </row>
    <row r="47" spans="1:17" ht="15" x14ac:dyDescent="0.25">
      <c r="A47" s="34"/>
      <c r="B47" s="30"/>
      <c r="C47" s="43">
        <f>+'Clients Projection'!AS$6</f>
        <v>2022.04</v>
      </c>
      <c r="D47" s="63">
        <f t="shared" si="0"/>
        <v>34.541638619246733</v>
      </c>
      <c r="E47" s="46"/>
      <c r="F47" s="63">
        <f t="shared" si="0"/>
        <v>2.9777274671764435</v>
      </c>
      <c r="M47" s="41"/>
      <c r="N47"/>
      <c r="P47" s="29"/>
      <c r="Q47" s="37"/>
    </row>
    <row r="48" spans="1:17" ht="15" x14ac:dyDescent="0.25">
      <c r="A48" s="34"/>
      <c r="B48" s="30"/>
      <c r="C48" s="43">
        <f>+'Clients Projection'!AT$6</f>
        <v>2022.05</v>
      </c>
      <c r="D48" s="63">
        <f t="shared" si="0"/>
        <v>34.887055005439201</v>
      </c>
      <c r="E48" s="46"/>
      <c r="F48" s="63">
        <f t="shared" si="0"/>
        <v>3.0075047418482082</v>
      </c>
      <c r="M48" s="41"/>
      <c r="N48"/>
      <c r="P48" s="29"/>
      <c r="Q48" s="37"/>
    </row>
    <row r="49" spans="1:17" ht="15" x14ac:dyDescent="0.25">
      <c r="A49" s="34"/>
      <c r="B49" s="30"/>
      <c r="C49" s="43">
        <f>+'Clients Projection'!AU$6</f>
        <v>2022.06</v>
      </c>
      <c r="D49" s="63">
        <f t="shared" si="0"/>
        <v>35.235925555493594</v>
      </c>
      <c r="E49" s="46"/>
      <c r="F49" s="63">
        <f t="shared" si="0"/>
        <v>3.0375797892666903</v>
      </c>
      <c r="M49" s="41"/>
      <c r="N49"/>
      <c r="P49" s="29"/>
      <c r="Q49" s="37"/>
    </row>
    <row r="50" spans="1:17" ht="15" x14ac:dyDescent="0.25">
      <c r="A50" s="34"/>
      <c r="B50" s="30"/>
      <c r="C50" s="43">
        <f>+'Clients Projection'!AV$6</f>
        <v>2022.07</v>
      </c>
      <c r="D50" s="63">
        <f t="shared" si="0"/>
        <v>35.588284811048531</v>
      </c>
      <c r="E50" s="46"/>
      <c r="F50" s="63">
        <f t="shared" si="0"/>
        <v>3.0679555871593571</v>
      </c>
      <c r="M50" s="41"/>
      <c r="N50"/>
      <c r="P50" s="29"/>
      <c r="Q50" s="37"/>
    </row>
    <row r="51" spans="1:17" ht="15" x14ac:dyDescent="0.25">
      <c r="A51" s="34"/>
      <c r="B51" s="30"/>
      <c r="C51" s="43">
        <f>+'Clients Projection'!AW$6</f>
        <v>2022.08</v>
      </c>
      <c r="D51" s="63">
        <f t="shared" si="0"/>
        <v>35.944167659159014</v>
      </c>
      <c r="E51" s="46"/>
      <c r="F51" s="63">
        <f t="shared" si="0"/>
        <v>3.0986351430309509</v>
      </c>
      <c r="M51" s="41"/>
      <c r="N51"/>
      <c r="P51" s="29"/>
      <c r="Q51" s="37"/>
    </row>
    <row r="52" spans="1:17" ht="15" x14ac:dyDescent="0.25">
      <c r="A52" s="34"/>
      <c r="B52" s="30"/>
      <c r="C52" s="43">
        <f>+'Clients Projection'!AX$6</f>
        <v>2022.09</v>
      </c>
      <c r="D52" s="63">
        <f t="shared" si="0"/>
        <v>36.303609335750608</v>
      </c>
      <c r="E52" s="46"/>
      <c r="F52" s="63">
        <f t="shared" si="0"/>
        <v>3.1296214944612606</v>
      </c>
      <c r="M52" s="41"/>
      <c r="N52"/>
      <c r="P52" s="29"/>
      <c r="Q52" s="37"/>
    </row>
    <row r="53" spans="1:17" ht="15" x14ac:dyDescent="0.25">
      <c r="A53" s="34"/>
      <c r="B53" s="30"/>
      <c r="C53" s="43">
        <f>+'Clients Projection'!AY$6</f>
        <v>2022.1</v>
      </c>
      <c r="D53" s="63">
        <f t="shared" si="0"/>
        <v>36.666645429108115</v>
      </c>
      <c r="E53" s="46"/>
      <c r="F53" s="63">
        <f t="shared" si="0"/>
        <v>3.1609177094058731</v>
      </c>
      <c r="M53" s="41"/>
      <c r="N53"/>
      <c r="P53" s="29"/>
      <c r="Q53" s="37"/>
    </row>
    <row r="54" spans="1:17" ht="15" x14ac:dyDescent="0.25">
      <c r="A54" s="34"/>
      <c r="B54" s="30"/>
      <c r="C54" s="43">
        <f>+'Clients Projection'!AZ$6</f>
        <v>2022.11</v>
      </c>
      <c r="D54" s="63">
        <f t="shared" si="0"/>
        <v>37.033311883399193</v>
      </c>
      <c r="E54" s="46"/>
      <c r="F54" s="63">
        <f t="shared" si="0"/>
        <v>3.1925268864999321</v>
      </c>
      <c r="M54" s="41"/>
      <c r="N54"/>
      <c r="P54" s="29"/>
      <c r="Q54" s="37"/>
    </row>
    <row r="55" spans="1:17" ht="15" x14ac:dyDescent="0.25">
      <c r="A55" s="34"/>
      <c r="B55" s="30"/>
      <c r="C55" s="43">
        <f>+'Clients Projection'!BA$6</f>
        <v>2022.12</v>
      </c>
      <c r="D55" s="63">
        <f t="shared" si="0"/>
        <v>37.403645002233183</v>
      </c>
      <c r="E55" s="46"/>
      <c r="F55" s="63">
        <f t="shared" si="0"/>
        <v>3.2244521553649315</v>
      </c>
      <c r="M55" s="41"/>
      <c r="N55"/>
      <c r="P55" s="29"/>
      <c r="Q55" s="37"/>
    </row>
    <row r="56" spans="1:17" ht="15" x14ac:dyDescent="0.25">
      <c r="A56" s="34"/>
      <c r="B56" s="30"/>
      <c r="C56" s="43">
        <f>+'Clients Projection'!BB$6</f>
        <v>2023.01</v>
      </c>
      <c r="D56" s="63">
        <f t="shared" si="0"/>
        <v>37.777681452255514</v>
      </c>
      <c r="E56" s="46"/>
      <c r="F56" s="63">
        <f t="shared" si="0"/>
        <v>3.256696676918581</v>
      </c>
      <c r="M56" s="41"/>
      <c r="N56"/>
      <c r="P56" s="29"/>
      <c r="Q56" s="37"/>
    </row>
    <row r="57" spans="1:17" ht="15" x14ac:dyDescent="0.25">
      <c r="A57" s="34"/>
      <c r="B57" s="30"/>
      <c r="C57" s="43">
        <f>+'Clients Projection'!BC$6</f>
        <v>2023.02</v>
      </c>
      <c r="D57" s="63">
        <f t="shared" si="0"/>
        <v>38.155458266778069</v>
      </c>
      <c r="E57" s="46"/>
      <c r="F57" s="63">
        <f t="shared" si="0"/>
        <v>3.2892636436877667</v>
      </c>
      <c r="M57" s="41"/>
      <c r="N57"/>
      <c r="P57" s="29"/>
      <c r="Q57" s="37"/>
    </row>
    <row r="58" spans="1:17" ht="15" x14ac:dyDescent="0.25">
      <c r="A58" s="34"/>
      <c r="B58" s="30"/>
      <c r="C58" s="43">
        <f>+'Clients Projection'!BD$6</f>
        <v>2023.03</v>
      </c>
      <c r="D58" s="63">
        <f t="shared" si="0"/>
        <v>38.537012849445851</v>
      </c>
      <c r="E58" s="46"/>
      <c r="F58" s="63">
        <f t="shared" si="0"/>
        <v>3.3221562801246445</v>
      </c>
      <c r="M58" s="41"/>
      <c r="N58"/>
      <c r="P58" s="29"/>
      <c r="Q58" s="37"/>
    </row>
    <row r="59" spans="1:17" ht="15" x14ac:dyDescent="0.25">
      <c r="A59" s="34"/>
      <c r="B59" s="30"/>
      <c r="C59" s="43">
        <f>+'Clients Projection'!BE$6</f>
        <v>2023.04</v>
      </c>
      <c r="D59" s="63">
        <f t="shared" si="0"/>
        <v>38.922382977940309</v>
      </c>
      <c r="E59" s="46"/>
      <c r="F59" s="63">
        <f t="shared" si="0"/>
        <v>3.3553778429258911</v>
      </c>
      <c r="M59" s="41"/>
      <c r="N59"/>
      <c r="P59" s="29"/>
      <c r="Q59" s="37"/>
    </row>
    <row r="60" spans="1:17" ht="15" x14ac:dyDescent="0.25">
      <c r="A60" s="34"/>
      <c r="B60" s="30"/>
      <c r="C60" s="43">
        <f>+'Clients Projection'!BF$6</f>
        <v>2023.05</v>
      </c>
      <c r="D60" s="63">
        <f t="shared" si="0"/>
        <v>39.311606807719713</v>
      </c>
      <c r="E60" s="46"/>
      <c r="F60" s="63">
        <f t="shared" si="0"/>
        <v>3.3889316213551499</v>
      </c>
      <c r="M60" s="41"/>
      <c r="N60"/>
      <c r="P60" s="29"/>
      <c r="Q60" s="37"/>
    </row>
    <row r="61" spans="1:17" ht="15" x14ac:dyDescent="0.25">
      <c r="A61" s="34"/>
      <c r="B61" s="30"/>
      <c r="C61" s="43">
        <f>+'Clients Projection'!BG$6</f>
        <v>2023.06</v>
      </c>
      <c r="D61" s="63">
        <f t="shared" si="0"/>
        <v>39.704722875796911</v>
      </c>
      <c r="E61" s="46"/>
      <c r="F61" s="63">
        <f t="shared" si="0"/>
        <v>3.4228209375687015</v>
      </c>
      <c r="M61" s="41"/>
      <c r="N61"/>
      <c r="P61" s="29"/>
      <c r="Q61" s="37"/>
    </row>
    <row r="62" spans="1:17" ht="15" x14ac:dyDescent="0.25">
      <c r="A62" s="34"/>
      <c r="B62" s="30"/>
      <c r="C62" s="43">
        <f>+'Clients Projection'!BH$6</f>
        <v>2023.07</v>
      </c>
      <c r="D62" s="63">
        <f t="shared" si="0"/>
        <v>40.10177010455488</v>
      </c>
      <c r="E62" s="46"/>
      <c r="F62" s="63">
        <f t="shared" si="0"/>
        <v>3.4570491469443887</v>
      </c>
      <c r="M62" s="41"/>
      <c r="N62"/>
      <c r="P62" s="29"/>
      <c r="Q62" s="37"/>
    </row>
    <row r="63" spans="1:17" ht="15" x14ac:dyDescent="0.25">
      <c r="A63" s="34"/>
      <c r="B63" s="30"/>
      <c r="C63" s="43">
        <f>+'Clients Projection'!BI$6</f>
        <v>2023.08</v>
      </c>
      <c r="D63" s="63">
        <f t="shared" si="0"/>
        <v>40.502787805600427</v>
      </c>
      <c r="E63" s="46"/>
      <c r="F63" s="63">
        <f t="shared" si="0"/>
        <v>3.4916196384138325</v>
      </c>
      <c r="M63" s="41"/>
      <c r="N63"/>
      <c r="P63" s="29"/>
      <c r="Q63" s="37"/>
    </row>
    <row r="64" spans="1:17" ht="15" x14ac:dyDescent="0.25">
      <c r="A64" s="34"/>
      <c r="B64" s="30"/>
      <c r="C64" s="43">
        <f>+'Clients Projection'!BJ$6</f>
        <v>2023.09</v>
      </c>
      <c r="D64" s="63">
        <f t="shared" si="0"/>
        <v>40.90781568365643</v>
      </c>
      <c r="E64" s="46"/>
      <c r="F64" s="63">
        <f t="shared" si="0"/>
        <v>3.5265358347979707</v>
      </c>
      <c r="M64" s="41"/>
      <c r="N64"/>
      <c r="P64" s="29"/>
      <c r="Q64" s="37"/>
    </row>
    <row r="65" spans="1:17" ht="15" x14ac:dyDescent="0.25">
      <c r="A65" s="34"/>
      <c r="B65" s="30"/>
      <c r="C65" s="43">
        <f>+'Clients Projection'!BK$6</f>
        <v>2023.1</v>
      </c>
      <c r="D65" s="63">
        <f t="shared" si="0"/>
        <v>41.316893840492995</v>
      </c>
      <c r="E65" s="46"/>
      <c r="F65" s="63">
        <f t="shared" si="0"/>
        <v>3.5618011931459503</v>
      </c>
      <c r="M65" s="41"/>
      <c r="N65"/>
      <c r="P65" s="29"/>
      <c r="Q65" s="37"/>
    </row>
    <row r="66" spans="1:17" ht="15" x14ac:dyDescent="0.25">
      <c r="A66" s="34"/>
      <c r="B66" s="30"/>
      <c r="C66" s="43">
        <f>+'Clients Projection'!BL$6</f>
        <v>2023.11</v>
      </c>
      <c r="D66" s="63">
        <f t="shared" si="0"/>
        <v>41.730062778897924</v>
      </c>
      <c r="E66" s="46"/>
      <c r="F66" s="63">
        <f t="shared" si="0"/>
        <v>3.5974192050774101</v>
      </c>
      <c r="M66" s="41"/>
      <c r="N66"/>
      <c r="P66" s="29"/>
      <c r="Q66" s="37"/>
    </row>
    <row r="67" spans="1:17" ht="15" x14ac:dyDescent="0.25">
      <c r="A67" s="34"/>
      <c r="B67" s="30"/>
      <c r="C67" s="43">
        <f>+'Clients Projection'!BM$6</f>
        <v>2023.12</v>
      </c>
      <c r="D67" s="63">
        <f t="shared" si="0"/>
        <v>42.147363406686907</v>
      </c>
      <c r="E67" s="46"/>
      <c r="F67" s="63">
        <f t="shared" si="0"/>
        <v>3.6333933971281844</v>
      </c>
      <c r="M67" s="41"/>
      <c r="N67"/>
      <c r="P67" s="29"/>
      <c r="Q67" s="37"/>
    </row>
    <row r="68" spans="1:17" ht="15" x14ac:dyDescent="0.25">
      <c r="A68" s="34"/>
      <c r="B68" s="30"/>
      <c r="C68" s="43">
        <f>+'Clients Projection'!BN$6</f>
        <v>2024.01</v>
      </c>
      <c r="D68" s="63">
        <f t="shared" si="0"/>
        <v>42.568837040753778</v>
      </c>
      <c r="E68" s="46"/>
      <c r="F68" s="63">
        <f t="shared" si="0"/>
        <v>3.6697273310994665</v>
      </c>
      <c r="M68" s="41"/>
      <c r="N68"/>
      <c r="P68" s="29"/>
      <c r="Q68" s="37"/>
    </row>
    <row r="69" spans="1:17" ht="15" x14ac:dyDescent="0.25">
      <c r="A69" s="34"/>
      <c r="B69" s="30"/>
      <c r="C69" s="43">
        <f>+'Clients Projection'!BO$6</f>
        <v>2024.02</v>
      </c>
      <c r="D69" s="63">
        <f t="shared" si="0"/>
        <v>42.994525411161312</v>
      </c>
      <c r="E69" s="46"/>
      <c r="F69" s="63">
        <f t="shared" si="0"/>
        <v>3.706424604410461</v>
      </c>
      <c r="M69" s="41"/>
      <c r="N69"/>
      <c r="P69" s="29"/>
      <c r="Q69" s="37"/>
    </row>
    <row r="70" spans="1:17" ht="15" x14ac:dyDescent="0.25">
      <c r="A70" s="34"/>
      <c r="B70" s="30"/>
      <c r="C70" s="43">
        <f>+'Clients Projection'!BP$6</f>
        <v>2024.03</v>
      </c>
      <c r="D70" s="63">
        <f t="shared" si="0"/>
        <v>43.424470665272928</v>
      </c>
      <c r="E70" s="46"/>
      <c r="F70" s="63">
        <f t="shared" si="0"/>
        <v>3.7434888504545656</v>
      </c>
      <c r="M70" s="41"/>
      <c r="N70"/>
      <c r="P70" s="29"/>
      <c r="Q70" s="37"/>
    </row>
    <row r="71" spans="1:17" ht="15" x14ac:dyDescent="0.25">
      <c r="A71" s="34"/>
      <c r="B71" s="30"/>
      <c r="C71" s="43">
        <f>+'Clients Projection'!BQ$6</f>
        <v>2024.04</v>
      </c>
      <c r="D71" s="63">
        <f t="shared" si="0"/>
        <v>43.858715371925655</v>
      </c>
      <c r="E71" s="46"/>
      <c r="F71" s="63">
        <f t="shared" si="0"/>
        <v>3.7809237389591113</v>
      </c>
      <c r="M71" s="41"/>
      <c r="N71"/>
      <c r="P71" s="29"/>
      <c r="Q71" s="37"/>
    </row>
    <row r="72" spans="1:17" ht="15" x14ac:dyDescent="0.25">
      <c r="A72" s="34"/>
      <c r="B72" s="30"/>
      <c r="C72" s="43">
        <f>+'Clients Projection'!BR$6</f>
        <v>2024.05</v>
      </c>
      <c r="D72" s="63">
        <f t="shared" si="0"/>
        <v>44.297302525644909</v>
      </c>
      <c r="E72" s="46"/>
      <c r="F72" s="63">
        <f t="shared" si="0"/>
        <v>3.8187329763487026</v>
      </c>
      <c r="M72" s="41"/>
      <c r="N72"/>
      <c r="P72" s="29"/>
      <c r="Q72" s="37"/>
    </row>
    <row r="73" spans="1:17" ht="15" x14ac:dyDescent="0.25">
      <c r="A73" s="34"/>
      <c r="B73" s="30"/>
      <c r="C73" s="43">
        <f>+'Clients Projection'!BS$6</f>
        <v>2024.06</v>
      </c>
      <c r="D73" s="63">
        <f t="shared" ref="D73:F91" si="1">+D72*1.01</f>
        <v>44.740275550901359</v>
      </c>
      <c r="E73" s="46"/>
      <c r="F73" s="63">
        <f t="shared" si="1"/>
        <v>3.8569203061121895</v>
      </c>
      <c r="M73" s="41"/>
      <c r="N73"/>
      <c r="P73" s="29"/>
      <c r="Q73" s="37"/>
    </row>
    <row r="74" spans="1:17" ht="15" x14ac:dyDescent="0.25">
      <c r="A74" s="34"/>
      <c r="B74" s="30"/>
      <c r="C74" s="43">
        <f>+'Clients Projection'!BT$6</f>
        <v>2024.07</v>
      </c>
      <c r="D74" s="63">
        <f t="shared" si="1"/>
        <v>45.187678306410376</v>
      </c>
      <c r="E74" s="46"/>
      <c r="F74" s="63">
        <f t="shared" si="1"/>
        <v>3.8954895091733115</v>
      </c>
      <c r="M74" s="41"/>
      <c r="N74"/>
      <c r="P74" s="29"/>
      <c r="Q74" s="37"/>
    </row>
    <row r="75" spans="1:17" ht="15" x14ac:dyDescent="0.25">
      <c r="A75" s="34"/>
      <c r="B75" s="30"/>
      <c r="C75" s="43">
        <f>+'Clients Projection'!BU$6</f>
        <v>2024.08</v>
      </c>
      <c r="D75" s="63">
        <f t="shared" si="1"/>
        <v>45.639555089474477</v>
      </c>
      <c r="E75" s="46"/>
      <c r="F75" s="63">
        <f t="shared" si="1"/>
        <v>3.9344444042650446</v>
      </c>
      <c r="M75" s="41"/>
      <c r="N75"/>
      <c r="P75" s="29"/>
      <c r="Q75" s="37"/>
    </row>
    <row r="76" spans="1:17" ht="15" x14ac:dyDescent="0.25">
      <c r="A76" s="34"/>
      <c r="B76" s="30"/>
      <c r="C76" s="43">
        <f>+'Clients Projection'!BV$6</f>
        <v>2024.09</v>
      </c>
      <c r="D76" s="63">
        <f t="shared" si="1"/>
        <v>46.095950640369225</v>
      </c>
      <c r="E76" s="46"/>
      <c r="F76" s="63">
        <f t="shared" si="1"/>
        <v>3.9737888483076951</v>
      </c>
      <c r="M76" s="41"/>
      <c r="N76"/>
      <c r="P76" s="29"/>
      <c r="Q76" s="37"/>
    </row>
    <row r="77" spans="1:17" ht="15" x14ac:dyDescent="0.25">
      <c r="A77" s="34"/>
      <c r="B77" s="30"/>
      <c r="C77" s="43">
        <f>+'Clients Projection'!BW$6</f>
        <v>2024.1</v>
      </c>
      <c r="D77" s="63">
        <f t="shared" si="1"/>
        <v>46.556910146772914</v>
      </c>
      <c r="E77" s="46"/>
      <c r="F77" s="63">
        <f t="shared" si="1"/>
        <v>4.0135267367907721</v>
      </c>
      <c r="M77" s="41"/>
      <c r="N77"/>
      <c r="P77" s="29"/>
      <c r="Q77" s="37"/>
    </row>
    <row r="78" spans="1:17" ht="15" x14ac:dyDescent="0.25">
      <c r="A78" s="34"/>
      <c r="B78" s="30"/>
      <c r="C78" s="43">
        <f>+'Clients Projection'!BX$6</f>
        <v>2024.11</v>
      </c>
      <c r="D78" s="63">
        <f t="shared" si="1"/>
        <v>47.022479248240643</v>
      </c>
      <c r="E78" s="46"/>
      <c r="F78" s="63">
        <f t="shared" si="1"/>
        <v>4.0536620041586797</v>
      </c>
      <c r="M78" s="41"/>
      <c r="N78"/>
      <c r="P78" s="29"/>
      <c r="Q78" s="37"/>
    </row>
    <row r="79" spans="1:17" ht="15" x14ac:dyDescent="0.25">
      <c r="A79" s="34"/>
      <c r="B79" s="30"/>
      <c r="C79" s="43">
        <f>+'Clients Projection'!BY$6</f>
        <v>2024.12</v>
      </c>
      <c r="D79" s="63">
        <f t="shared" si="1"/>
        <v>47.492704040723048</v>
      </c>
      <c r="E79" s="46"/>
      <c r="F79" s="63">
        <f t="shared" si="1"/>
        <v>4.0941986242002661</v>
      </c>
      <c r="M79" s="41"/>
      <c r="N79"/>
      <c r="P79" s="29"/>
      <c r="Q79" s="37"/>
    </row>
    <row r="80" spans="1:17" ht="15" x14ac:dyDescent="0.25">
      <c r="A80" s="34"/>
      <c r="B80" s="30"/>
      <c r="C80" s="43">
        <f>+'Clients Projection'!BZ$6</f>
        <v>2025.01</v>
      </c>
      <c r="D80" s="63">
        <f t="shared" si="1"/>
        <v>47.967631081130278</v>
      </c>
      <c r="E80" s="46"/>
      <c r="F80" s="63">
        <f t="shared" si="1"/>
        <v>4.135140610442269</v>
      </c>
      <c r="M80" s="41"/>
      <c r="N80"/>
      <c r="P80" s="29"/>
      <c r="Q80" s="37"/>
    </row>
    <row r="81" spans="1:17" ht="15" x14ac:dyDescent="0.25">
      <c r="A81" s="34"/>
      <c r="B81" s="30"/>
      <c r="C81" s="43">
        <f>+'Clients Projection'!CA$6</f>
        <v>2025.02</v>
      </c>
      <c r="D81" s="63">
        <f t="shared" si="1"/>
        <v>48.447307391941578</v>
      </c>
      <c r="E81" s="46"/>
      <c r="F81" s="63">
        <f t="shared" si="1"/>
        <v>4.1764920165466917</v>
      </c>
      <c r="M81" s="41"/>
      <c r="N81"/>
      <c r="P81" s="29"/>
      <c r="Q81" s="37"/>
    </row>
    <row r="82" spans="1:17" ht="15" x14ac:dyDescent="0.25">
      <c r="A82" s="34"/>
      <c r="B82" s="30"/>
      <c r="C82" s="43">
        <f>+'Clients Projection'!CB$6</f>
        <v>2025.03</v>
      </c>
      <c r="D82" s="63">
        <f t="shared" si="1"/>
        <v>48.931780465860996</v>
      </c>
      <c r="E82" s="46"/>
      <c r="F82" s="63">
        <f t="shared" si="1"/>
        <v>4.2182569367121587</v>
      </c>
      <c r="M82" s="41"/>
      <c r="N82"/>
      <c r="P82" s="29"/>
      <c r="Q82" s="37"/>
    </row>
    <row r="83" spans="1:17" ht="15" x14ac:dyDescent="0.25">
      <c r="A83" s="34"/>
      <c r="B83" s="30"/>
      <c r="C83" s="43">
        <f>+'Clients Projection'!CC$6</f>
        <v>2025.04</v>
      </c>
      <c r="D83" s="63">
        <f t="shared" si="1"/>
        <v>49.421098270519607</v>
      </c>
      <c r="E83" s="46"/>
      <c r="F83" s="63">
        <f t="shared" si="1"/>
        <v>4.2604395060792806</v>
      </c>
      <c r="M83" s="41"/>
      <c r="N83"/>
      <c r="P83" s="29"/>
      <c r="Q83" s="37"/>
    </row>
    <row r="84" spans="1:17" ht="15" x14ac:dyDescent="0.25">
      <c r="A84" s="34"/>
      <c r="B84" s="30"/>
      <c r="C84" s="43">
        <f>+'Clients Projection'!CD$6</f>
        <v>2025.05</v>
      </c>
      <c r="D84" s="63">
        <f t="shared" si="1"/>
        <v>49.915309253224805</v>
      </c>
      <c r="E84" s="46"/>
      <c r="F84" s="63">
        <f t="shared" si="1"/>
        <v>4.3030439011400734</v>
      </c>
      <c r="M84" s="41"/>
      <c r="N84"/>
      <c r="P84" s="29"/>
      <c r="Q84" s="37"/>
    </row>
    <row r="85" spans="1:17" ht="15" x14ac:dyDescent="0.25">
      <c r="A85" s="34"/>
      <c r="B85" s="30"/>
      <c r="C85" s="43">
        <f>+'Clients Projection'!CE$6</f>
        <v>2025.06</v>
      </c>
      <c r="D85" s="63">
        <f t="shared" si="1"/>
        <v>50.414462345757052</v>
      </c>
      <c r="E85" s="46"/>
      <c r="F85" s="63">
        <f t="shared" si="1"/>
        <v>4.3460743401514739</v>
      </c>
      <c r="M85" s="41"/>
      <c r="N85"/>
      <c r="P85" s="29"/>
      <c r="Q85" s="37"/>
    </row>
    <row r="86" spans="1:17" ht="15" x14ac:dyDescent="0.25">
      <c r="A86" s="34"/>
      <c r="B86" s="30"/>
      <c r="C86" s="43">
        <f>+'Clients Projection'!CF$6</f>
        <v>2025.07</v>
      </c>
      <c r="D86" s="63">
        <f t="shared" si="1"/>
        <v>50.918606969214622</v>
      </c>
      <c r="E86" s="46"/>
      <c r="F86" s="63">
        <f t="shared" si="1"/>
        <v>4.3895350835529889</v>
      </c>
      <c r="M86" s="41"/>
      <c r="N86"/>
      <c r="P86" s="29"/>
      <c r="Q86" s="37"/>
    </row>
    <row r="87" spans="1:17" ht="15" x14ac:dyDescent="0.25">
      <c r="A87" s="34"/>
      <c r="B87" s="30"/>
      <c r="C87" s="43">
        <f>+'Clients Projection'!CG$6</f>
        <v>2025.08</v>
      </c>
      <c r="D87" s="63">
        <f t="shared" si="1"/>
        <v>51.427793038906771</v>
      </c>
      <c r="E87" s="46"/>
      <c r="F87" s="63">
        <f t="shared" si="1"/>
        <v>4.4334304343885185</v>
      </c>
      <c r="M87" s="41"/>
      <c r="N87"/>
      <c r="P87" s="29"/>
      <c r="Q87" s="37"/>
    </row>
    <row r="88" spans="1:17" ht="15" x14ac:dyDescent="0.25">
      <c r="A88" s="34"/>
      <c r="B88" s="30"/>
      <c r="C88" s="43">
        <f>+'Clients Projection'!CH$6</f>
        <v>2025.09</v>
      </c>
      <c r="D88" s="63">
        <f t="shared" si="1"/>
        <v>51.942070969295841</v>
      </c>
      <c r="E88" s="46"/>
      <c r="F88" s="63">
        <f t="shared" si="1"/>
        <v>4.4777647387324038</v>
      </c>
      <c r="M88" s="41"/>
      <c r="N88"/>
      <c r="P88" s="29"/>
      <c r="Q88" s="37"/>
    </row>
    <row r="89" spans="1:17" ht="15" x14ac:dyDescent="0.25">
      <c r="A89" s="34"/>
      <c r="B89" s="30"/>
      <c r="C89" s="43">
        <f>+'Clients Projection'!CI$6</f>
        <v>2025.1</v>
      </c>
      <c r="D89" s="63">
        <f t="shared" si="1"/>
        <v>52.4614916789888</v>
      </c>
      <c r="E89" s="46"/>
      <c r="F89" s="63">
        <f t="shared" si="1"/>
        <v>4.5225423861197278</v>
      </c>
      <c r="M89" s="41"/>
      <c r="N89"/>
      <c r="P89" s="29"/>
      <c r="Q89" s="37"/>
    </row>
    <row r="90" spans="1:17" ht="15" x14ac:dyDescent="0.25">
      <c r="A90" s="34"/>
      <c r="B90" s="30"/>
      <c r="C90" s="43">
        <f>+'Clients Projection'!CJ$6</f>
        <v>2025.11</v>
      </c>
      <c r="D90" s="63">
        <f t="shared" si="1"/>
        <v>52.986106595778686</v>
      </c>
      <c r="E90" s="46"/>
      <c r="F90" s="63">
        <f t="shared" si="1"/>
        <v>4.5677678099809249</v>
      </c>
      <c r="M90" s="41"/>
      <c r="N90"/>
      <c r="P90" s="29"/>
      <c r="Q90" s="37"/>
    </row>
    <row r="91" spans="1:17" ht="15.75" thickBot="1" x14ac:dyDescent="0.3">
      <c r="A91" s="34"/>
      <c r="B91" s="30"/>
      <c r="C91" s="45">
        <f>+'Clients Projection'!CK$6</f>
        <v>2025.12</v>
      </c>
      <c r="D91" s="64">
        <f t="shared" si="1"/>
        <v>53.515967661736475</v>
      </c>
      <c r="E91" s="46"/>
      <c r="F91" s="64">
        <f t="shared" si="1"/>
        <v>4.6134454880807345</v>
      </c>
      <c r="M91" s="41"/>
      <c r="N91"/>
      <c r="P91" s="29"/>
      <c r="Q91" s="37"/>
    </row>
    <row r="92" spans="1:17" ht="15" x14ac:dyDescent="0.25">
      <c r="A92" s="34"/>
      <c r="B92" s="30"/>
      <c r="C92"/>
      <c r="D92"/>
      <c r="E92"/>
      <c r="F92"/>
      <c r="H92" s="41"/>
      <c r="I92" s="41"/>
      <c r="J92" s="41"/>
      <c r="K92" s="41"/>
      <c r="L92" s="41"/>
      <c r="M92" s="41"/>
      <c r="N92"/>
      <c r="P92" s="29"/>
      <c r="Q92" s="37"/>
    </row>
    <row r="93" spans="1:17" ht="15" x14ac:dyDescent="0.25">
      <c r="A93" s="34"/>
      <c r="B93" s="30"/>
      <c r="C93"/>
      <c r="D93"/>
      <c r="E93"/>
      <c r="F93"/>
      <c r="H93" s="41"/>
      <c r="I93" s="41"/>
      <c r="J93" s="41"/>
      <c r="K93" s="41"/>
      <c r="L93" s="41"/>
      <c r="M93" s="41"/>
      <c r="N93"/>
      <c r="P93" s="29"/>
      <c r="Q93" s="37"/>
    </row>
    <row r="94" spans="1:17" ht="15" x14ac:dyDescent="0.25">
      <c r="A94" s="34"/>
      <c r="B94" s="30"/>
      <c r="C94"/>
      <c r="D94"/>
      <c r="E94"/>
      <c r="F94"/>
      <c r="H94" s="41"/>
      <c r="I94" s="41"/>
      <c r="J94" s="41"/>
      <c r="K94" s="41"/>
      <c r="L94" s="41"/>
      <c r="M94" s="41"/>
      <c r="N94"/>
      <c r="P94" s="29"/>
      <c r="Q94" s="37"/>
    </row>
    <row r="95" spans="1:17" ht="15" x14ac:dyDescent="0.25">
      <c r="A95" s="34"/>
      <c r="B95" s="30"/>
      <c r="C95"/>
      <c r="D95"/>
      <c r="E95"/>
      <c r="F95"/>
      <c r="H95" s="41"/>
      <c r="I95" s="41"/>
      <c r="J95" s="41"/>
      <c r="K95" s="41"/>
      <c r="L95" s="41"/>
      <c r="M95" s="41"/>
      <c r="N95"/>
      <c r="P95" s="29"/>
      <c r="Q95" s="37"/>
    </row>
    <row r="96" spans="1:17" ht="15" x14ac:dyDescent="0.25">
      <c r="A96" s="34"/>
      <c r="B96" s="30"/>
      <c r="C96"/>
      <c r="D96"/>
      <c r="E96"/>
      <c r="F96"/>
      <c r="H96" s="41"/>
      <c r="I96" s="41"/>
      <c r="J96" s="41"/>
      <c r="K96" s="41"/>
      <c r="L96" s="41"/>
      <c r="M96" s="41"/>
      <c r="N96"/>
      <c r="P96" s="29"/>
      <c r="Q96" s="37"/>
    </row>
    <row r="97" spans="1:17" ht="15" x14ac:dyDescent="0.25">
      <c r="A97" s="34"/>
      <c r="B97" s="30"/>
      <c r="C97"/>
      <c r="D97"/>
      <c r="E97"/>
      <c r="F97"/>
      <c r="H97" s="41"/>
      <c r="I97" s="41"/>
      <c r="J97" s="41"/>
      <c r="K97" s="41"/>
      <c r="L97" s="41"/>
      <c r="M97" s="41"/>
      <c r="N97"/>
      <c r="P97" s="29"/>
      <c r="Q97" s="37"/>
    </row>
    <row r="98" spans="1:17" ht="15" x14ac:dyDescent="0.25">
      <c r="A98" s="34"/>
      <c r="B98" s="30"/>
      <c r="C98"/>
      <c r="D98"/>
      <c r="E98"/>
      <c r="F98"/>
      <c r="H98" s="41"/>
      <c r="I98" s="41"/>
      <c r="J98" s="41"/>
      <c r="K98" s="41"/>
      <c r="L98" s="41"/>
      <c r="M98" s="41"/>
      <c r="N98"/>
      <c r="P98" s="29"/>
      <c r="Q98" s="37"/>
    </row>
    <row r="99" spans="1:17" ht="15" x14ac:dyDescent="0.25">
      <c r="A99" s="34"/>
      <c r="B99" s="30"/>
      <c r="C99"/>
      <c r="D99"/>
      <c r="E99"/>
      <c r="F99"/>
      <c r="H99" s="41"/>
      <c r="I99" s="41"/>
      <c r="J99" s="41"/>
      <c r="K99" s="41"/>
      <c r="L99" s="41"/>
      <c r="M99" s="41"/>
      <c r="N99"/>
      <c r="P99" s="29"/>
      <c r="Q99" s="37"/>
    </row>
    <row r="100" spans="1:17" ht="15" x14ac:dyDescent="0.25">
      <c r="A100" s="34"/>
      <c r="B100" s="30"/>
      <c r="C100"/>
      <c r="D100"/>
      <c r="E100"/>
      <c r="F100"/>
      <c r="H100" s="41"/>
      <c r="I100" s="41"/>
      <c r="J100" s="41"/>
      <c r="K100" s="41"/>
      <c r="L100" s="41"/>
      <c r="M100" s="41"/>
      <c r="N100"/>
      <c r="P100" s="29"/>
      <c r="Q100" s="37"/>
    </row>
    <row r="101" spans="1:17" ht="15" x14ac:dyDescent="0.25">
      <c r="A101" s="34"/>
      <c r="B101" s="30"/>
      <c r="C101"/>
      <c r="D101"/>
      <c r="E101"/>
      <c r="F101"/>
      <c r="H101" s="41"/>
      <c r="I101" s="41"/>
      <c r="J101" s="41"/>
      <c r="K101" s="41"/>
      <c r="L101" s="41"/>
      <c r="M101" s="41"/>
      <c r="N101"/>
      <c r="P101" s="29"/>
      <c r="Q101" s="37"/>
    </row>
    <row r="102" spans="1:17" ht="15" x14ac:dyDescent="0.25">
      <c r="A102" s="34"/>
      <c r="B102" s="30"/>
      <c r="C102"/>
      <c r="D102"/>
      <c r="E102"/>
      <c r="F102"/>
      <c r="H102" s="41"/>
      <c r="I102" s="41"/>
      <c r="J102" s="41"/>
      <c r="K102" s="41"/>
      <c r="L102" s="41"/>
      <c r="M102" s="41"/>
      <c r="N102"/>
      <c r="P102" s="29"/>
      <c r="Q102" s="37"/>
    </row>
    <row r="103" spans="1:17" ht="15" x14ac:dyDescent="0.25">
      <c r="A103" s="34"/>
      <c r="B103" s="30"/>
      <c r="C103"/>
      <c r="D103"/>
      <c r="E103"/>
      <c r="F103"/>
      <c r="H103" s="41"/>
      <c r="I103" s="41"/>
      <c r="J103" s="41"/>
      <c r="K103" s="41"/>
      <c r="L103" s="41"/>
      <c r="M103" s="41"/>
      <c r="N103"/>
      <c r="P103" s="29"/>
      <c r="Q103" s="37"/>
    </row>
    <row r="104" spans="1:17" ht="15" x14ac:dyDescent="0.25">
      <c r="A104" s="34"/>
      <c r="B104" s="30"/>
      <c r="C104"/>
      <c r="D104"/>
      <c r="E104"/>
      <c r="F104"/>
      <c r="H104" s="41"/>
      <c r="I104" s="41"/>
      <c r="J104" s="41"/>
      <c r="K104" s="41"/>
      <c r="L104" s="41"/>
      <c r="M104" s="41"/>
      <c r="N104"/>
      <c r="P104" s="29"/>
      <c r="Q104" s="37"/>
    </row>
    <row r="105" spans="1:17" ht="15" x14ac:dyDescent="0.25">
      <c r="A105" s="34"/>
      <c r="B105" s="30"/>
      <c r="C105"/>
      <c r="D105"/>
      <c r="E105"/>
      <c r="F105"/>
      <c r="H105" s="41"/>
      <c r="I105" s="41"/>
      <c r="J105" s="41"/>
      <c r="K105" s="41"/>
      <c r="L105" s="41"/>
      <c r="M105" s="41"/>
      <c r="N105"/>
      <c r="P105" s="29"/>
      <c r="Q105" s="37"/>
    </row>
    <row r="106" spans="1:17" ht="15" x14ac:dyDescent="0.25">
      <c r="A106" s="34"/>
      <c r="B106" s="30"/>
      <c r="C106"/>
      <c r="D106"/>
      <c r="E106"/>
      <c r="F106"/>
      <c r="H106" s="41"/>
      <c r="I106" s="41"/>
      <c r="J106" s="41"/>
      <c r="K106" s="41"/>
      <c r="L106" s="41"/>
      <c r="M106" s="41"/>
      <c r="N106"/>
      <c r="P106" s="29"/>
      <c r="Q106" s="37"/>
    </row>
    <row r="107" spans="1:17" ht="15" x14ac:dyDescent="0.25">
      <c r="A107" s="34"/>
      <c r="B107" s="30"/>
      <c r="C107"/>
      <c r="D107"/>
      <c r="E107"/>
      <c r="F107"/>
      <c r="H107" s="41"/>
      <c r="I107" s="41"/>
      <c r="J107" s="41"/>
      <c r="K107" s="41"/>
      <c r="L107" s="41"/>
      <c r="M107" s="41"/>
      <c r="N107"/>
      <c r="P107" s="29"/>
      <c r="Q107" s="37"/>
    </row>
    <row r="108" spans="1:17" ht="15" x14ac:dyDescent="0.25">
      <c r="A108" s="34"/>
      <c r="B108" s="30"/>
      <c r="C108"/>
      <c r="D108"/>
      <c r="E108"/>
      <c r="F108"/>
      <c r="H108" s="41"/>
      <c r="I108" s="41"/>
      <c r="J108" s="41"/>
      <c r="K108" s="41"/>
      <c r="L108" s="41"/>
      <c r="M108" s="41"/>
      <c r="N108"/>
      <c r="P108" s="29"/>
      <c r="Q108" s="37"/>
    </row>
    <row r="109" spans="1:17" ht="15" x14ac:dyDescent="0.25">
      <c r="A109" s="34"/>
      <c r="B109" s="30"/>
      <c r="C109"/>
      <c r="D109"/>
      <c r="E109"/>
      <c r="F109"/>
      <c r="H109" s="41"/>
      <c r="I109" s="41"/>
      <c r="J109" s="41"/>
      <c r="K109" s="41"/>
      <c r="L109" s="41"/>
      <c r="M109" s="41"/>
      <c r="N109"/>
      <c r="P109" s="29"/>
      <c r="Q109" s="37"/>
    </row>
    <row r="110" spans="1:17" ht="15" x14ac:dyDescent="0.25">
      <c r="A110" s="34"/>
      <c r="B110" s="30"/>
      <c r="C110"/>
      <c r="D110"/>
      <c r="E110"/>
      <c r="F110"/>
      <c r="H110" s="41"/>
      <c r="I110" s="41"/>
      <c r="J110" s="41"/>
      <c r="K110" s="41"/>
      <c r="L110" s="41"/>
      <c r="M110" s="41"/>
      <c r="N110"/>
      <c r="P110" s="29"/>
      <c r="Q110" s="37"/>
    </row>
    <row r="111" spans="1:17" ht="15" x14ac:dyDescent="0.25">
      <c r="A111" s="34"/>
      <c r="B111" s="30"/>
      <c r="C111"/>
      <c r="D111"/>
      <c r="E111"/>
      <c r="F111"/>
      <c r="H111" s="41"/>
      <c r="I111" s="41"/>
      <c r="J111" s="41"/>
      <c r="K111" s="41"/>
      <c r="L111" s="41"/>
      <c r="M111" s="41"/>
      <c r="N111"/>
      <c r="P111" s="29"/>
      <c r="Q111" s="37"/>
    </row>
    <row r="112" spans="1:17" ht="15" x14ac:dyDescent="0.25">
      <c r="A112" s="34"/>
      <c r="B112" s="30"/>
      <c r="C112"/>
      <c r="D112"/>
      <c r="E112"/>
      <c r="F112"/>
      <c r="H112" s="41"/>
      <c r="I112" s="41"/>
      <c r="J112" s="41"/>
      <c r="K112" s="41"/>
      <c r="L112" s="41"/>
      <c r="M112" s="41"/>
      <c r="N112"/>
      <c r="P112" s="29"/>
      <c r="Q112" s="37"/>
    </row>
    <row r="113" spans="1:17" ht="15" x14ac:dyDescent="0.25">
      <c r="A113" s="34"/>
      <c r="B113" s="30"/>
      <c r="C113"/>
      <c r="D113"/>
      <c r="E113"/>
      <c r="F113"/>
      <c r="H113" s="41"/>
      <c r="I113" s="41"/>
      <c r="J113" s="41"/>
      <c r="K113" s="41"/>
      <c r="L113" s="41"/>
      <c r="M113" s="41"/>
      <c r="N113"/>
      <c r="P113" s="29"/>
      <c r="Q113" s="37"/>
    </row>
    <row r="114" spans="1:17" ht="15" x14ac:dyDescent="0.25">
      <c r="A114" s="34"/>
      <c r="B114" s="30"/>
      <c r="C114"/>
      <c r="D114"/>
      <c r="E114"/>
      <c r="F114"/>
      <c r="H114" s="41"/>
      <c r="I114" s="41"/>
      <c r="J114" s="41"/>
      <c r="K114" s="41"/>
      <c r="L114" s="41"/>
      <c r="M114" s="41"/>
      <c r="N114"/>
      <c r="P114" s="29"/>
      <c r="Q114" s="37"/>
    </row>
    <row r="115" spans="1:17" ht="15" x14ac:dyDescent="0.25">
      <c r="A115" s="34"/>
      <c r="B115" s="30"/>
      <c r="C115"/>
      <c r="D115"/>
      <c r="E115"/>
      <c r="F115"/>
      <c r="H115" s="41"/>
      <c r="I115" s="41"/>
      <c r="J115" s="41"/>
      <c r="K115" s="41"/>
      <c r="L115" s="41"/>
      <c r="M115" s="41"/>
      <c r="N115"/>
      <c r="P115" s="29"/>
      <c r="Q115" s="37"/>
    </row>
    <row r="116" spans="1:17" ht="15.75" thickBot="1" x14ac:dyDescent="0.3">
      <c r="A116" s="34"/>
      <c r="B116" s="30"/>
      <c r="C116"/>
      <c r="D116"/>
      <c r="E116"/>
      <c r="F116"/>
      <c r="G116"/>
      <c r="H116"/>
      <c r="I116"/>
      <c r="J116"/>
      <c r="K116"/>
      <c r="L116"/>
      <c r="M116"/>
      <c r="N116"/>
      <c r="O116" s="38"/>
      <c r="P116" s="29"/>
      <c r="Q116" s="29"/>
    </row>
    <row r="117" spans="1:17" ht="15" x14ac:dyDescent="0.25"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40"/>
    </row>
  </sheetData>
  <dataConsolidate/>
  <conditionalFormatting sqref="O116">
    <cfRule type="expression" dxfId="0" priority="1">
      <formula>AND(#REF!&lt;&gt;"",O$6&lt;=#REF!)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1">
    <tabColor theme="9" tint="0.39997558519241921"/>
  </sheetPr>
  <dimension ref="A1:C86"/>
  <sheetViews>
    <sheetView workbookViewId="0">
      <selection sqref="A1:C86"/>
    </sheetView>
  </sheetViews>
  <sheetFormatPr baseColWidth="10" defaultColWidth="9.140625" defaultRowHeight="12.75" x14ac:dyDescent="0.2"/>
  <cols>
    <col min="1" max="1" width="10.5703125" bestFit="1" customWidth="1"/>
    <col min="2" max="7" width="27.140625" customWidth="1"/>
    <col min="8" max="255" width="11.42578125" customWidth="1"/>
  </cols>
  <sheetData>
    <row r="1" spans="1:3" x14ac:dyDescent="0.2">
      <c r="A1" t="s">
        <v>182</v>
      </c>
      <c r="B1" t="s">
        <v>269</v>
      </c>
      <c r="C1" t="s">
        <v>270</v>
      </c>
    </row>
    <row r="2" spans="1:3" x14ac:dyDescent="0.2">
      <c r="A2" t="str">
        <f>TEXT('Other data'!C7,"0.00")</f>
        <v>2018.12</v>
      </c>
      <c r="B2">
        <f>'Other data'!D7</f>
        <v>23.2</v>
      </c>
      <c r="C2" s="47">
        <f>+'Other data'!F7</f>
        <v>2</v>
      </c>
    </row>
    <row r="3" spans="1:3" x14ac:dyDescent="0.2">
      <c r="A3" t="s">
        <v>98</v>
      </c>
      <c r="B3">
        <v>23.431999999999999</v>
      </c>
      <c r="C3">
        <v>2.02</v>
      </c>
    </row>
    <row r="4" spans="1:3" x14ac:dyDescent="0.2">
      <c r="A4" t="s">
        <v>99</v>
      </c>
      <c r="B4">
        <v>23.666319999999999</v>
      </c>
      <c r="C4">
        <v>2.0402</v>
      </c>
    </row>
    <row r="5" spans="1:3" x14ac:dyDescent="0.2">
      <c r="A5" t="s">
        <v>100</v>
      </c>
      <c r="B5">
        <v>23.902983199999998</v>
      </c>
      <c r="C5">
        <v>2.0606019999999998</v>
      </c>
    </row>
    <row r="6" spans="1:3" x14ac:dyDescent="0.2">
      <c r="A6" t="s">
        <v>101</v>
      </c>
      <c r="B6">
        <v>24.142013031999998</v>
      </c>
      <c r="C6">
        <v>2.08120802</v>
      </c>
    </row>
    <row r="7" spans="1:3" x14ac:dyDescent="0.2">
      <c r="A7" t="s">
        <v>102</v>
      </c>
      <c r="B7">
        <v>24.383433162319999</v>
      </c>
      <c r="C7">
        <v>2.1020201001999999</v>
      </c>
    </row>
    <row r="8" spans="1:3" x14ac:dyDescent="0.2">
      <c r="A8" t="s">
        <v>103</v>
      </c>
      <c r="B8">
        <v>24.627267493943201</v>
      </c>
      <c r="C8">
        <v>2.1230403012019998</v>
      </c>
    </row>
    <row r="9" spans="1:3" x14ac:dyDescent="0.2">
      <c r="A9" t="s">
        <v>104</v>
      </c>
      <c r="B9">
        <v>24.873540168882634</v>
      </c>
      <c r="C9">
        <v>2.1442707042140197</v>
      </c>
    </row>
    <row r="10" spans="1:3" x14ac:dyDescent="0.2">
      <c r="A10" t="s">
        <v>105</v>
      </c>
      <c r="B10">
        <v>25.12227557057146</v>
      </c>
      <c r="C10">
        <v>2.16571341125616</v>
      </c>
    </row>
    <row r="11" spans="1:3" x14ac:dyDescent="0.2">
      <c r="A11" t="s">
        <v>106</v>
      </c>
      <c r="B11">
        <v>25.373498326277176</v>
      </c>
      <c r="C11">
        <v>2.1873705453687218</v>
      </c>
    </row>
    <row r="12" spans="1:3" x14ac:dyDescent="0.2">
      <c r="A12" t="s">
        <v>107</v>
      </c>
      <c r="B12">
        <v>25.627233309539946</v>
      </c>
      <c r="C12">
        <v>2.2092442508224091</v>
      </c>
    </row>
    <row r="13" spans="1:3" x14ac:dyDescent="0.2">
      <c r="A13" t="s">
        <v>108</v>
      </c>
      <c r="B13">
        <v>25.883505642635345</v>
      </c>
      <c r="C13">
        <v>2.2313366933306331</v>
      </c>
    </row>
    <row r="14" spans="1:3" x14ac:dyDescent="0.2">
      <c r="A14" t="s">
        <v>109</v>
      </c>
      <c r="B14">
        <v>26.142340699061698</v>
      </c>
      <c r="C14">
        <v>2.2536500602639395</v>
      </c>
    </row>
    <row r="15" spans="1:3" x14ac:dyDescent="0.2">
      <c r="A15" t="s">
        <v>110</v>
      </c>
      <c r="B15">
        <v>26.403764106052314</v>
      </c>
      <c r="C15">
        <v>2.276186560866579</v>
      </c>
    </row>
    <row r="16" spans="1:3" x14ac:dyDescent="0.2">
      <c r="A16" t="s">
        <v>111</v>
      </c>
      <c r="B16">
        <v>26.667801747112836</v>
      </c>
      <c r="C16">
        <v>2.2989484264752447</v>
      </c>
    </row>
    <row r="17" spans="1:3" x14ac:dyDescent="0.2">
      <c r="A17" t="s">
        <v>112</v>
      </c>
      <c r="B17">
        <v>26.934479764583966</v>
      </c>
      <c r="C17">
        <v>2.3219379107399973</v>
      </c>
    </row>
    <row r="18" spans="1:3" x14ac:dyDescent="0.2">
      <c r="A18" t="s">
        <v>113</v>
      </c>
      <c r="B18">
        <v>27.203824562229805</v>
      </c>
      <c r="C18">
        <v>2.3451572898473971</v>
      </c>
    </row>
    <row r="19" spans="1:3" x14ac:dyDescent="0.2">
      <c r="A19" t="s">
        <v>114</v>
      </c>
      <c r="B19">
        <v>27.475862807852103</v>
      </c>
      <c r="C19">
        <v>2.3686088627458712</v>
      </c>
    </row>
    <row r="20" spans="1:3" x14ac:dyDescent="0.2">
      <c r="A20" t="s">
        <v>115</v>
      </c>
      <c r="B20">
        <v>27.750621435930626</v>
      </c>
      <c r="C20">
        <v>2.39229495137333</v>
      </c>
    </row>
    <row r="21" spans="1:3" x14ac:dyDescent="0.2">
      <c r="A21" t="s">
        <v>116</v>
      </c>
      <c r="B21">
        <v>28.028127650289932</v>
      </c>
      <c r="C21">
        <v>2.4162179008870632</v>
      </c>
    </row>
    <row r="22" spans="1:3" x14ac:dyDescent="0.2">
      <c r="A22" t="s">
        <v>117</v>
      </c>
      <c r="B22">
        <v>28.308408926792833</v>
      </c>
      <c r="C22">
        <v>2.4403800798959341</v>
      </c>
    </row>
    <row r="23" spans="1:3" x14ac:dyDescent="0.2">
      <c r="A23" t="s">
        <v>118</v>
      </c>
      <c r="B23">
        <v>28.59149301606076</v>
      </c>
      <c r="C23">
        <v>2.4647838806948936</v>
      </c>
    </row>
    <row r="24" spans="1:3" x14ac:dyDescent="0.2">
      <c r="A24" t="s">
        <v>119</v>
      </c>
      <c r="B24">
        <v>28.877407946221368</v>
      </c>
      <c r="C24">
        <v>2.4894317195018427</v>
      </c>
    </row>
    <row r="25" spans="1:3" x14ac:dyDescent="0.2">
      <c r="A25" t="s">
        <v>120</v>
      </c>
      <c r="B25">
        <v>29.166182025683582</v>
      </c>
      <c r="C25">
        <v>2.5143260366968612</v>
      </c>
    </row>
    <row r="26" spans="1:3" x14ac:dyDescent="0.2">
      <c r="A26" t="s">
        <v>121</v>
      </c>
      <c r="B26">
        <v>29.457843845940417</v>
      </c>
      <c r="C26">
        <v>2.53946929706383</v>
      </c>
    </row>
    <row r="27" spans="1:3" x14ac:dyDescent="0.2">
      <c r="A27" t="s">
        <v>122</v>
      </c>
      <c r="B27">
        <v>29.75242228439982</v>
      </c>
      <c r="C27">
        <v>2.5648639900344681</v>
      </c>
    </row>
    <row r="28" spans="1:3" x14ac:dyDescent="0.2">
      <c r="A28" t="s">
        <v>123</v>
      </c>
      <c r="B28">
        <v>30.049946507243817</v>
      </c>
      <c r="C28">
        <v>2.5905126299348127</v>
      </c>
    </row>
    <row r="29" spans="1:3" x14ac:dyDescent="0.2">
      <c r="A29" t="s">
        <v>124</v>
      </c>
      <c r="B29">
        <v>30.350445972316255</v>
      </c>
      <c r="C29">
        <v>2.6164177562341608</v>
      </c>
    </row>
    <row r="30" spans="1:3" x14ac:dyDescent="0.2">
      <c r="A30" t="s">
        <v>125</v>
      </c>
      <c r="B30">
        <v>30.653950432039416</v>
      </c>
      <c r="C30">
        <v>2.6425819337965026</v>
      </c>
    </row>
    <row r="31" spans="1:3" x14ac:dyDescent="0.2">
      <c r="A31" t="s">
        <v>126</v>
      </c>
      <c r="B31">
        <v>30.96048993635981</v>
      </c>
      <c r="C31">
        <v>2.6690077531344678</v>
      </c>
    </row>
    <row r="32" spans="1:3" x14ac:dyDescent="0.2">
      <c r="A32" t="s">
        <v>127</v>
      </c>
      <c r="B32">
        <v>31.270094835723409</v>
      </c>
      <c r="C32">
        <v>2.6956978306658126</v>
      </c>
    </row>
    <row r="33" spans="1:3" x14ac:dyDescent="0.2">
      <c r="A33" t="s">
        <v>128</v>
      </c>
      <c r="B33">
        <v>31.582795784080645</v>
      </c>
      <c r="C33">
        <v>2.7226548089724707</v>
      </c>
    </row>
    <row r="34" spans="1:3" x14ac:dyDescent="0.2">
      <c r="A34" t="s">
        <v>129</v>
      </c>
      <c r="B34">
        <v>31.898623741921451</v>
      </c>
      <c r="C34">
        <v>2.7498813570621956</v>
      </c>
    </row>
    <row r="35" spans="1:3" x14ac:dyDescent="0.2">
      <c r="A35" t="s">
        <v>130</v>
      </c>
      <c r="B35">
        <v>32.217609979340665</v>
      </c>
      <c r="C35">
        <v>2.7773801706328176</v>
      </c>
    </row>
    <row r="36" spans="1:3" x14ac:dyDescent="0.2">
      <c r="A36" t="s">
        <v>131</v>
      </c>
      <c r="B36">
        <v>32.539786079134075</v>
      </c>
      <c r="C36">
        <v>2.8051539723391459</v>
      </c>
    </row>
    <row r="37" spans="1:3" x14ac:dyDescent="0.2">
      <c r="A37" t="s">
        <v>132</v>
      </c>
      <c r="B37">
        <v>32.865183939925416</v>
      </c>
      <c r="C37">
        <v>2.8332055120625372</v>
      </c>
    </row>
    <row r="38" spans="1:3" x14ac:dyDescent="0.2">
      <c r="A38" t="s">
        <v>133</v>
      </c>
      <c r="B38">
        <v>33.193835779324672</v>
      </c>
      <c r="C38">
        <v>2.8615375671831624</v>
      </c>
    </row>
    <row r="39" spans="1:3" x14ac:dyDescent="0.2">
      <c r="A39" t="s">
        <v>134</v>
      </c>
      <c r="B39">
        <v>33.525774137117921</v>
      </c>
      <c r="C39">
        <v>2.8901529428549941</v>
      </c>
    </row>
    <row r="40" spans="1:3" x14ac:dyDescent="0.2">
      <c r="A40" t="s">
        <v>135</v>
      </c>
      <c r="B40">
        <v>33.861031878489101</v>
      </c>
      <c r="C40">
        <v>2.9190544722835443</v>
      </c>
    </row>
    <row r="41" spans="1:3" x14ac:dyDescent="0.2">
      <c r="A41" t="s">
        <v>136</v>
      </c>
      <c r="B41">
        <v>34.199642197273995</v>
      </c>
      <c r="C41">
        <v>2.9482450170063799</v>
      </c>
    </row>
    <row r="42" spans="1:3" x14ac:dyDescent="0.2">
      <c r="A42" t="s">
        <v>137</v>
      </c>
      <c r="B42">
        <v>34.541638619246733</v>
      </c>
      <c r="C42">
        <v>2.9777274671764435</v>
      </c>
    </row>
    <row r="43" spans="1:3" x14ac:dyDescent="0.2">
      <c r="A43" t="s">
        <v>138</v>
      </c>
      <c r="B43">
        <v>34.887055005439201</v>
      </c>
      <c r="C43">
        <v>3.0075047418482082</v>
      </c>
    </row>
    <row r="44" spans="1:3" x14ac:dyDescent="0.2">
      <c r="A44" t="s">
        <v>139</v>
      </c>
      <c r="B44">
        <v>35.235925555493594</v>
      </c>
      <c r="C44">
        <v>3.0375797892666903</v>
      </c>
    </row>
    <row r="45" spans="1:3" x14ac:dyDescent="0.2">
      <c r="A45" t="s">
        <v>140</v>
      </c>
      <c r="B45">
        <v>35.588284811048531</v>
      </c>
      <c r="C45">
        <v>3.0679555871593571</v>
      </c>
    </row>
    <row r="46" spans="1:3" x14ac:dyDescent="0.2">
      <c r="A46" t="s">
        <v>141</v>
      </c>
      <c r="B46">
        <v>35.944167659159014</v>
      </c>
      <c r="C46">
        <v>3.0986351430309509</v>
      </c>
    </row>
    <row r="47" spans="1:3" x14ac:dyDescent="0.2">
      <c r="A47" t="s">
        <v>142</v>
      </c>
      <c r="B47">
        <v>36.303609335750608</v>
      </c>
      <c r="C47">
        <v>3.1296214944612606</v>
      </c>
    </row>
    <row r="48" spans="1:3" x14ac:dyDescent="0.2">
      <c r="A48" t="s">
        <v>143</v>
      </c>
      <c r="B48">
        <v>36.666645429108115</v>
      </c>
      <c r="C48">
        <v>3.1609177094058731</v>
      </c>
    </row>
    <row r="49" spans="1:3" x14ac:dyDescent="0.2">
      <c r="A49" t="s">
        <v>144</v>
      </c>
      <c r="B49">
        <v>37.033311883399193</v>
      </c>
      <c r="C49">
        <v>3.1925268864999321</v>
      </c>
    </row>
    <row r="50" spans="1:3" x14ac:dyDescent="0.2">
      <c r="A50" t="s">
        <v>145</v>
      </c>
      <c r="B50">
        <v>37.403645002233183</v>
      </c>
      <c r="C50">
        <v>3.2244521553649315</v>
      </c>
    </row>
    <row r="51" spans="1:3" x14ac:dyDescent="0.2">
      <c r="A51" t="s">
        <v>146</v>
      </c>
      <c r="B51">
        <v>37.777681452255514</v>
      </c>
      <c r="C51">
        <v>3.256696676918581</v>
      </c>
    </row>
    <row r="52" spans="1:3" x14ac:dyDescent="0.2">
      <c r="A52" t="s">
        <v>147</v>
      </c>
      <c r="B52">
        <v>38.155458266778069</v>
      </c>
      <c r="C52">
        <v>3.2892636436877667</v>
      </c>
    </row>
    <row r="53" spans="1:3" x14ac:dyDescent="0.2">
      <c r="A53" t="s">
        <v>148</v>
      </c>
      <c r="B53">
        <v>38.537012849445851</v>
      </c>
      <c r="C53">
        <v>3.3221562801246445</v>
      </c>
    </row>
    <row r="54" spans="1:3" x14ac:dyDescent="0.2">
      <c r="A54" t="s">
        <v>149</v>
      </c>
      <c r="B54">
        <v>38.922382977940309</v>
      </c>
      <c r="C54">
        <v>3.3553778429258911</v>
      </c>
    </row>
    <row r="55" spans="1:3" x14ac:dyDescent="0.2">
      <c r="A55" t="s">
        <v>150</v>
      </c>
      <c r="B55">
        <v>39.311606807719713</v>
      </c>
      <c r="C55">
        <v>3.3889316213551499</v>
      </c>
    </row>
    <row r="56" spans="1:3" x14ac:dyDescent="0.2">
      <c r="A56" t="s">
        <v>151</v>
      </c>
      <c r="B56">
        <v>39.704722875796911</v>
      </c>
      <c r="C56">
        <v>3.4228209375687015</v>
      </c>
    </row>
    <row r="57" spans="1:3" x14ac:dyDescent="0.2">
      <c r="A57" t="s">
        <v>152</v>
      </c>
      <c r="B57">
        <v>40.10177010455488</v>
      </c>
      <c r="C57">
        <v>3.4570491469443887</v>
      </c>
    </row>
    <row r="58" spans="1:3" x14ac:dyDescent="0.2">
      <c r="A58" t="s">
        <v>153</v>
      </c>
      <c r="B58">
        <v>40.502787805600427</v>
      </c>
      <c r="C58">
        <v>3.4916196384138325</v>
      </c>
    </row>
    <row r="59" spans="1:3" x14ac:dyDescent="0.2">
      <c r="A59" t="s">
        <v>154</v>
      </c>
      <c r="B59">
        <v>40.90781568365643</v>
      </c>
      <c r="C59">
        <v>3.5265358347979707</v>
      </c>
    </row>
    <row r="60" spans="1:3" x14ac:dyDescent="0.2">
      <c r="A60" t="s">
        <v>155</v>
      </c>
      <c r="B60">
        <v>41.316893840492995</v>
      </c>
      <c r="C60">
        <v>3.5618011931459503</v>
      </c>
    </row>
    <row r="61" spans="1:3" x14ac:dyDescent="0.2">
      <c r="A61" t="s">
        <v>156</v>
      </c>
      <c r="B61">
        <v>41.730062778897924</v>
      </c>
      <c r="C61">
        <v>3.5974192050774101</v>
      </c>
    </row>
    <row r="62" spans="1:3" x14ac:dyDescent="0.2">
      <c r="A62" t="s">
        <v>157</v>
      </c>
      <c r="B62">
        <v>42.147363406686907</v>
      </c>
      <c r="C62">
        <v>3.6333933971281844</v>
      </c>
    </row>
    <row r="63" spans="1:3" x14ac:dyDescent="0.2">
      <c r="A63" t="s">
        <v>158</v>
      </c>
      <c r="B63">
        <v>42.568837040753778</v>
      </c>
      <c r="C63">
        <v>3.6697273310994665</v>
      </c>
    </row>
    <row r="64" spans="1:3" x14ac:dyDescent="0.2">
      <c r="A64" t="s">
        <v>159</v>
      </c>
      <c r="B64">
        <v>42.994525411161312</v>
      </c>
      <c r="C64">
        <v>3.706424604410461</v>
      </c>
    </row>
    <row r="65" spans="1:3" x14ac:dyDescent="0.2">
      <c r="A65" t="s">
        <v>160</v>
      </c>
      <c r="B65">
        <v>43.424470665272928</v>
      </c>
      <c r="C65">
        <v>3.7434888504545656</v>
      </c>
    </row>
    <row r="66" spans="1:3" x14ac:dyDescent="0.2">
      <c r="A66" t="s">
        <v>161</v>
      </c>
      <c r="B66">
        <v>43.858715371925655</v>
      </c>
      <c r="C66">
        <v>3.7809237389591113</v>
      </c>
    </row>
    <row r="67" spans="1:3" x14ac:dyDescent="0.2">
      <c r="A67" t="s">
        <v>162</v>
      </c>
      <c r="B67">
        <v>44.297302525644909</v>
      </c>
      <c r="C67">
        <v>3.8187329763487026</v>
      </c>
    </row>
    <row r="68" spans="1:3" x14ac:dyDescent="0.2">
      <c r="A68" t="s">
        <v>163</v>
      </c>
      <c r="B68">
        <v>44.740275550901359</v>
      </c>
      <c r="C68">
        <v>3.8569203061121895</v>
      </c>
    </row>
    <row r="69" spans="1:3" x14ac:dyDescent="0.2">
      <c r="A69" t="s">
        <v>164</v>
      </c>
      <c r="B69">
        <v>45.187678306410376</v>
      </c>
      <c r="C69">
        <v>3.8954895091733115</v>
      </c>
    </row>
    <row r="70" spans="1:3" x14ac:dyDescent="0.2">
      <c r="A70" t="s">
        <v>165</v>
      </c>
      <c r="B70">
        <v>45.639555089474477</v>
      </c>
      <c r="C70">
        <v>3.9344444042650446</v>
      </c>
    </row>
    <row r="71" spans="1:3" x14ac:dyDescent="0.2">
      <c r="A71" t="s">
        <v>166</v>
      </c>
      <c r="B71">
        <v>46.095950640369225</v>
      </c>
      <c r="C71">
        <v>3.9737888483076951</v>
      </c>
    </row>
    <row r="72" spans="1:3" x14ac:dyDescent="0.2">
      <c r="A72" t="s">
        <v>167</v>
      </c>
      <c r="B72">
        <v>46.556910146772914</v>
      </c>
      <c r="C72">
        <v>4.0135267367907721</v>
      </c>
    </row>
    <row r="73" spans="1:3" x14ac:dyDescent="0.2">
      <c r="A73" t="s">
        <v>168</v>
      </c>
      <c r="B73">
        <v>47.022479248240643</v>
      </c>
      <c r="C73">
        <v>4.0536620041586797</v>
      </c>
    </row>
    <row r="74" spans="1:3" x14ac:dyDescent="0.2">
      <c r="A74" t="s">
        <v>169</v>
      </c>
      <c r="B74">
        <v>47.492704040723048</v>
      </c>
      <c r="C74">
        <v>4.0941986242002661</v>
      </c>
    </row>
    <row r="75" spans="1:3" x14ac:dyDescent="0.2">
      <c r="A75" t="s">
        <v>170</v>
      </c>
      <c r="B75">
        <v>47.967631081130278</v>
      </c>
      <c r="C75">
        <v>4.135140610442269</v>
      </c>
    </row>
    <row r="76" spans="1:3" x14ac:dyDescent="0.2">
      <c r="A76" t="s">
        <v>171</v>
      </c>
      <c r="B76">
        <v>48.447307391941578</v>
      </c>
      <c r="C76">
        <v>4.1764920165466917</v>
      </c>
    </row>
    <row r="77" spans="1:3" x14ac:dyDescent="0.2">
      <c r="A77" t="s">
        <v>172</v>
      </c>
      <c r="B77">
        <v>48.931780465860996</v>
      </c>
      <c r="C77">
        <v>4.2182569367121587</v>
      </c>
    </row>
    <row r="78" spans="1:3" x14ac:dyDescent="0.2">
      <c r="A78" t="s">
        <v>173</v>
      </c>
      <c r="B78">
        <v>49.421098270519607</v>
      </c>
      <c r="C78">
        <v>4.2604395060792806</v>
      </c>
    </row>
    <row r="79" spans="1:3" x14ac:dyDescent="0.2">
      <c r="A79" t="s">
        <v>174</v>
      </c>
      <c r="B79">
        <v>49.915309253224805</v>
      </c>
      <c r="C79">
        <v>4.3030439011400734</v>
      </c>
    </row>
    <row r="80" spans="1:3" x14ac:dyDescent="0.2">
      <c r="A80" t="s">
        <v>175</v>
      </c>
      <c r="B80">
        <v>50.414462345757052</v>
      </c>
      <c r="C80">
        <v>4.3460743401514739</v>
      </c>
    </row>
    <row r="81" spans="1:3" x14ac:dyDescent="0.2">
      <c r="A81" t="s">
        <v>176</v>
      </c>
      <c r="B81">
        <v>50.918606969214622</v>
      </c>
      <c r="C81">
        <v>4.3895350835529889</v>
      </c>
    </row>
    <row r="82" spans="1:3" x14ac:dyDescent="0.2">
      <c r="A82" t="s">
        <v>177</v>
      </c>
      <c r="B82">
        <v>51.427793038906771</v>
      </c>
      <c r="C82">
        <v>4.4334304343885185</v>
      </c>
    </row>
    <row r="83" spans="1:3" x14ac:dyDescent="0.2">
      <c r="A83" t="s">
        <v>178</v>
      </c>
      <c r="B83">
        <v>51.942070969295841</v>
      </c>
      <c r="C83">
        <v>4.4777647387324038</v>
      </c>
    </row>
    <row r="84" spans="1:3" x14ac:dyDescent="0.2">
      <c r="A84" t="s">
        <v>179</v>
      </c>
      <c r="B84">
        <v>52.4614916789888</v>
      </c>
      <c r="C84">
        <v>4.5225423861197278</v>
      </c>
    </row>
    <row r="85" spans="1:3" x14ac:dyDescent="0.2">
      <c r="A85" t="s">
        <v>180</v>
      </c>
      <c r="B85">
        <v>52.986106595778686</v>
      </c>
      <c r="C85">
        <v>4.5677678099809249</v>
      </c>
    </row>
    <row r="86" spans="1:3" x14ac:dyDescent="0.2">
      <c r="A86" t="s">
        <v>181</v>
      </c>
      <c r="B86">
        <v>53.515967661736475</v>
      </c>
      <c r="C86">
        <v>4.6134454880807345</v>
      </c>
    </row>
  </sheetData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Front Page</vt:lpstr>
      <vt:lpstr>Front_page</vt:lpstr>
      <vt:lpstr>Clients Projection</vt:lpstr>
      <vt:lpstr>ppa_clients_proj</vt:lpstr>
      <vt:lpstr>Other data</vt:lpstr>
      <vt:lpstr>ppa_other_data</vt:lpstr>
      <vt:lpstr>Front_page</vt:lpstr>
      <vt:lpstr>ppa_clients_proj</vt:lpstr>
      <vt:lpstr>ppa_other_data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Gino Pcnovix</cp:lastModifiedBy>
  <dcterms:created xsi:type="dcterms:W3CDTF">2017-04-21T19:35:43Z</dcterms:created>
  <dcterms:modified xsi:type="dcterms:W3CDTF">2020-01-07T15:55:52Z</dcterms:modified>
</cp:coreProperties>
</file>